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105" windowWidth="24855" windowHeight="12540" activeTab="1"/>
  </bookViews>
  <sheets>
    <sheet name="att_logs" sheetId="7" r:id="rId1"/>
    <sheet name="Time_IO" sheetId="11" r:id="rId2"/>
    <sheet name=" Time_SUM" sheetId="12" r:id="rId3"/>
    <sheet name="Attendance" sheetId="9" r:id="rId4"/>
    <sheet name="Employees" sheetId="13" r:id="rId5"/>
  </sheets>
  <externalReferences>
    <externalReference r:id="rId6"/>
  </externalReferences>
  <definedNames>
    <definedName name="_xlnm._FilterDatabase" localSheetId="2" hidden="1">' Time_SUM'!$B$6:$BN$6</definedName>
    <definedName name="_xlnm.Print_Area" localSheetId="3">Attendance!$B$1:$P$20</definedName>
    <definedName name="Type">'[1]Maintenance Work Order'!#REF!</definedName>
  </definedNames>
  <calcPr calcId="124519"/>
</workbook>
</file>

<file path=xl/calcChain.xml><?xml version="1.0" encoding="utf-8"?>
<calcChain xmlns="http://schemas.openxmlformats.org/spreadsheetml/2006/main">
  <c r="BB6" i="11"/>
  <c r="BD6"/>
  <c r="BF6"/>
  <c r="BH6"/>
  <c r="BJ6"/>
  <c r="BL6"/>
  <c r="BN6"/>
  <c r="AD6"/>
  <c r="AF6"/>
  <c r="AH6"/>
  <c r="AJ6"/>
  <c r="AL6"/>
  <c r="AN6"/>
  <c r="AP6"/>
  <c r="AR6"/>
  <c r="AT6"/>
  <c r="AV6"/>
  <c r="AX6"/>
  <c r="AZ6"/>
  <c r="J6"/>
  <c r="L6"/>
  <c r="N6"/>
  <c r="P6"/>
  <c r="R6"/>
  <c r="T6"/>
  <c r="V6"/>
  <c r="X6"/>
  <c r="Z6"/>
  <c r="AB6"/>
  <c r="H6"/>
  <c r="F6"/>
  <c r="BM27" i="12"/>
  <c r="BL27"/>
  <c r="BE27"/>
  <c r="BD27"/>
  <c r="AO27"/>
  <c r="BC27" s="1"/>
  <c r="BM26"/>
  <c r="BM25" s="1"/>
  <c r="BL26"/>
  <c r="BL25" s="1"/>
  <c r="BE26"/>
  <c r="BD26"/>
  <c r="AO26"/>
  <c r="BC26" s="1"/>
  <c r="BC25" s="1"/>
  <c r="BE25"/>
  <c r="BD25"/>
  <c r="AO25"/>
  <c r="BM24"/>
  <c r="BL24"/>
  <c r="BE24"/>
  <c r="BD24"/>
  <c r="AO24"/>
  <c r="BC24" s="1"/>
  <c r="BM23"/>
  <c r="BL23"/>
  <c r="BE23"/>
  <c r="BD23"/>
  <c r="AO23"/>
  <c r="BC23" s="1"/>
  <c r="BM22"/>
  <c r="BL22"/>
  <c r="BE22"/>
  <c r="BD22"/>
  <c r="AO22"/>
  <c r="BC22" s="1"/>
  <c r="BM21"/>
  <c r="BL21"/>
  <c r="BE21"/>
  <c r="BD21"/>
  <c r="AO21"/>
  <c r="BC21" s="1"/>
  <c r="BM20"/>
  <c r="BL20"/>
  <c r="BE20"/>
  <c r="BD20"/>
  <c r="AO20"/>
  <c r="BC20" s="1"/>
  <c r="BM19"/>
  <c r="BL19"/>
  <c r="BE19"/>
  <c r="BD19"/>
  <c r="AO19"/>
  <c r="BC19" s="1"/>
  <c r="AO18"/>
  <c r="BM17"/>
  <c r="BM16" s="1"/>
  <c r="BL17"/>
  <c r="BL16" s="1"/>
  <c r="BE17"/>
  <c r="BE16" s="1"/>
  <c r="BD17"/>
  <c r="BD16" s="1"/>
  <c r="AO17"/>
  <c r="BC17" s="1"/>
  <c r="BC16" s="1"/>
  <c r="AO16"/>
  <c r="BM15"/>
  <c r="BL15"/>
  <c r="BE15"/>
  <c r="BD15"/>
  <c r="AO15"/>
  <c r="BC15" s="1"/>
  <c r="BM14"/>
  <c r="BL14"/>
  <c r="BE14"/>
  <c r="BD14"/>
  <c r="AO14"/>
  <c r="BC14" s="1"/>
  <c r="AO13"/>
  <c r="BM12"/>
  <c r="BL12"/>
  <c r="BE12"/>
  <c r="BD12"/>
  <c r="AO12"/>
  <c r="BC12" s="1"/>
  <c r="BM11"/>
  <c r="BL11"/>
  <c r="BE11"/>
  <c r="BD11"/>
  <c r="AO11"/>
  <c r="BC11" s="1"/>
  <c r="AO10"/>
  <c r="BM9"/>
  <c r="BL9"/>
  <c r="BE9"/>
  <c r="BD9"/>
  <c r="BD7" s="1"/>
  <c r="AO9"/>
  <c r="BC9" s="1"/>
  <c r="BM8"/>
  <c r="BL8"/>
  <c r="BE8"/>
  <c r="BD8"/>
  <c r="AO8"/>
  <c r="BC8" s="1"/>
  <c r="BC7" s="1"/>
  <c r="AO7"/>
  <c r="J6"/>
  <c r="J5"/>
  <c r="K5" s="1"/>
  <c r="BL7" l="1"/>
  <c r="BM7"/>
  <c r="BE18"/>
  <c r="BE13"/>
  <c r="BM18"/>
  <c r="BM13"/>
  <c r="BM10"/>
  <c r="BD10"/>
  <c r="BD13"/>
  <c r="BE7"/>
  <c r="BL13"/>
  <c r="BD18"/>
  <c r="BE10"/>
  <c r="BL18"/>
  <c r="BL10"/>
  <c r="BC10"/>
  <c r="BC18"/>
  <c r="K6"/>
  <c r="L5"/>
  <c r="BC13"/>
  <c r="M5" l="1"/>
  <c r="L6"/>
  <c r="M6" l="1"/>
  <c r="N5"/>
  <c r="O5" l="1"/>
  <c r="N6"/>
  <c r="O6" l="1"/>
  <c r="P5"/>
  <c r="P6" l="1"/>
  <c r="Q5"/>
  <c r="Q6" l="1"/>
  <c r="R5"/>
  <c r="R6" l="1"/>
  <c r="S5"/>
  <c r="T5" l="1"/>
  <c r="S6"/>
  <c r="T6" l="1"/>
  <c r="U5"/>
  <c r="U6" l="1"/>
  <c r="V5"/>
  <c r="W5" l="1"/>
  <c r="V6"/>
  <c r="W6" l="1"/>
  <c r="X5"/>
  <c r="Y5" l="1"/>
  <c r="X6"/>
  <c r="Y6" l="1"/>
  <c r="Z5"/>
  <c r="Z6" l="1"/>
  <c r="AA5"/>
  <c r="AB5" l="1"/>
  <c r="AA6"/>
  <c r="AC5" l="1"/>
  <c r="AB6"/>
  <c r="AC6" l="1"/>
  <c r="AD5"/>
  <c r="AE5" l="1"/>
  <c r="AD6"/>
  <c r="AE6" l="1"/>
  <c r="AF5"/>
  <c r="AG5" l="1"/>
  <c r="AF6"/>
  <c r="AG6" l="1"/>
  <c r="AH5"/>
  <c r="AH6" l="1"/>
  <c r="AI5"/>
  <c r="AI6" l="1"/>
  <c r="AJ5"/>
  <c r="AK5" l="1"/>
  <c r="AJ6"/>
  <c r="AK6" l="1"/>
  <c r="AL5"/>
  <c r="AL6" l="1"/>
  <c r="AM5"/>
  <c r="BU9" i="11"/>
  <c r="BV9"/>
  <c r="AM6" i="12" l="1"/>
  <c r="AN5"/>
  <c r="AN6" s="1"/>
  <c r="BT9" i="11"/>
  <c r="BS9" a="1"/>
  <c r="BS9" s="1"/>
  <c r="BQ9" a="1"/>
  <c r="BQ9" s="1"/>
  <c r="BV8"/>
  <c r="BU8"/>
  <c r="BT8" l="1"/>
  <c r="BS8" a="1"/>
  <c r="BS8" s="1"/>
  <c r="BQ8" a="1"/>
  <c r="BQ8" s="1"/>
  <c r="F5"/>
  <c r="F3"/>
  <c r="G9" i="9"/>
  <c r="G10"/>
  <c r="G11"/>
  <c r="G12"/>
  <c r="G13"/>
  <c r="G14"/>
  <c r="G15"/>
  <c r="G16"/>
  <c r="G17"/>
  <c r="G18"/>
  <c r="G19"/>
  <c r="G20"/>
  <c r="G8"/>
  <c r="C3"/>
  <c r="C2"/>
  <c r="A9"/>
  <c r="A10"/>
  <c r="A11"/>
  <c r="A12"/>
  <c r="A13"/>
  <c r="A14"/>
  <c r="A15"/>
  <c r="A16"/>
  <c r="A17"/>
  <c r="A18"/>
  <c r="A19"/>
  <c r="A20"/>
  <c r="A8"/>
  <c r="K9"/>
  <c r="K10"/>
  <c r="K11"/>
  <c r="K12"/>
  <c r="K13"/>
  <c r="K14"/>
  <c r="K15"/>
  <c r="K16"/>
  <c r="K17"/>
  <c r="K18"/>
  <c r="K19"/>
  <c r="K20"/>
  <c r="K8"/>
  <c r="H3"/>
  <c r="P20"/>
  <c r="P19"/>
  <c r="P18"/>
  <c r="P17"/>
  <c r="P16"/>
  <c r="P15"/>
  <c r="P14"/>
  <c r="P13"/>
  <c r="P12"/>
  <c r="P11"/>
  <c r="P10"/>
  <c r="P9"/>
  <c r="P8"/>
  <c r="H5" i="11" l="1"/>
  <c r="B5" i="9"/>
  <c r="H6" s="1"/>
  <c r="M6" s="1"/>
  <c r="M5" s="1"/>
  <c r="J5" i="11" l="1"/>
  <c r="H5" i="9"/>
  <c r="L5" i="11" l="1"/>
  <c r="N5" l="1"/>
  <c r="P5" l="1"/>
  <c r="R5" l="1"/>
  <c r="T5" l="1"/>
  <c r="V5" l="1"/>
  <c r="X5" l="1"/>
  <c r="Z5" l="1"/>
  <c r="AB5" l="1"/>
  <c r="AD5" l="1"/>
  <c r="AF5" l="1"/>
  <c r="AH5" l="1"/>
  <c r="AJ5" l="1"/>
  <c r="AL5" l="1"/>
  <c r="AN5" l="1"/>
  <c r="AP5" l="1"/>
  <c r="AR5" l="1"/>
  <c r="AT5" l="1"/>
  <c r="AV5" l="1"/>
  <c r="AX5" l="1"/>
  <c r="AZ5" l="1"/>
  <c r="BB5" l="1"/>
  <c r="BD5" l="1"/>
  <c r="BF5" l="1"/>
  <c r="BH5" l="1"/>
  <c r="BJ5" l="1"/>
  <c r="BL5" l="1"/>
  <c r="BN5" l="1"/>
  <c r="BR8" l="1"/>
  <c r="BP8"/>
  <c r="E2" l="1"/>
  <c r="BR9"/>
  <c r="BP9"/>
</calcChain>
</file>

<file path=xl/sharedStrings.xml><?xml version="1.0" encoding="utf-8"?>
<sst xmlns="http://schemas.openxmlformats.org/spreadsheetml/2006/main" count="303" uniqueCount="172">
  <si>
    <t>Status</t>
  </si>
  <si>
    <t>EmpID</t>
  </si>
  <si>
    <t>Verify_Time</t>
  </si>
  <si>
    <t>Verify_Type</t>
  </si>
  <si>
    <t>xx</t>
  </si>
  <si>
    <t>Shift Attendance Spreadsheet Template Example</t>
  </si>
  <si>
    <t>Role</t>
  </si>
  <si>
    <t>Employee Name</t>
  </si>
  <si>
    <t>Shift Start</t>
  </si>
  <si>
    <t>Break</t>
  </si>
  <si>
    <t>Lunch</t>
  </si>
  <si>
    <t>Shift End</t>
  </si>
  <si>
    <t>Hours</t>
  </si>
  <si>
    <t>Total Hours per Employee</t>
  </si>
  <si>
    <t>Opening Cashier</t>
  </si>
  <si>
    <t>Day Cashier</t>
  </si>
  <si>
    <t>Customer Service</t>
  </si>
  <si>
    <t>Closing Cashier</t>
  </si>
  <si>
    <t>Worked Hrs + Overtime</t>
  </si>
  <si>
    <t>Absence Paid</t>
  </si>
  <si>
    <t>Total Hours to be Paid</t>
  </si>
  <si>
    <t>EmpCode</t>
  </si>
  <si>
    <t>Gender</t>
  </si>
  <si>
    <t>Birthday</t>
  </si>
  <si>
    <t>Hireday</t>
  </si>
  <si>
    <t>NOTES</t>
  </si>
  <si>
    <t>.No</t>
  </si>
  <si>
    <t>Atendant Code</t>
  </si>
  <si>
    <t>Nam</t>
  </si>
  <si>
    <t>Thang</t>
  </si>
  <si>
    <t>Ký hiệu:</t>
  </si>
  <si>
    <t>Nghỉ phép</t>
  </si>
  <si>
    <t>P</t>
  </si>
  <si>
    <t>Thai sản</t>
  </si>
  <si>
    <t>ThS</t>
  </si>
  <si>
    <t>Ốm</t>
  </si>
  <si>
    <t>O</t>
  </si>
  <si>
    <t>Ngày công</t>
  </si>
  <si>
    <t>BẢNG CHẤM CÔNG VÀO RA - ĐI MUỘN VỀ SỚM - THEO THÁNG</t>
  </si>
  <si>
    <t>Học tập, công tác</t>
  </si>
  <si>
    <t>H</t>
  </si>
  <si>
    <t>Không lương</t>
  </si>
  <si>
    <t>KL</t>
  </si>
  <si>
    <t>Tháng</t>
  </si>
  <si>
    <t>Năm</t>
  </si>
  <si>
    <t>NGÀY</t>
  </si>
  <si>
    <t>Vào trễ/Ra sớm</t>
  </si>
  <si>
    <t>Mã NV</t>
  </si>
  <si>
    <t>Tên nhân viên</t>
  </si>
  <si>
    <t>Giới tính</t>
  </si>
  <si>
    <t>Phòng/ban</t>
  </si>
  <si>
    <t>Chức vụ</t>
  </si>
  <si>
    <t>IN</t>
  </si>
  <si>
    <t>OUT</t>
  </si>
  <si>
    <t>Tổng số lần vào trễ</t>
  </si>
  <si>
    <t>Tổng số phút vào trễ</t>
  </si>
  <si>
    <t>Tổng số lần ra sớm</t>
  </si>
  <si>
    <t>Tổng số phút  ra sớm</t>
  </si>
  <si>
    <t>Số ngày công đi làm</t>
  </si>
  <si>
    <t>Số ngày nghỉ</t>
  </si>
  <si>
    <t>Số ngày làm nửa ngày</t>
  </si>
  <si>
    <t>NV01</t>
  </si>
  <si>
    <t>Lê Kim Oanh</t>
  </si>
  <si>
    <t>Nữ</t>
  </si>
  <si>
    <t>Phòng TCKT</t>
  </si>
  <si>
    <t>Trưởng phòng</t>
  </si>
  <si>
    <t>NV02</t>
  </si>
  <si>
    <t>Phạm Thị Nụ</t>
  </si>
  <si>
    <t>Chuyên viên</t>
  </si>
  <si>
    <t>BẢNG CHẤM CÔNG</t>
  </si>
  <si>
    <r>
      <t>Tháng 9 năm 2019</t>
    </r>
    <r>
      <rPr>
        <i/>
        <sz val="12"/>
        <color rgb="FFFF0000"/>
        <rFont val="Calibri"/>
        <family val="2"/>
      </rPr>
      <t xml:space="preserve"> (từ ngày: 9/1/2019 - đến ngày: 30/09/2019)</t>
    </r>
  </si>
  <si>
    <t>STT</t>
  </si>
  <si>
    <t xml:space="preserve">Mã AC </t>
  </si>
  <si>
    <t>Mã Nhân Viên</t>
  </si>
  <si>
    <t>Họ và tên</t>
  </si>
  <si>
    <t>Chức 
vụ</t>
  </si>
  <si>
    <r>
      <t xml:space="preserve">Ngày gia nhập / </t>
    </r>
    <r>
      <rPr>
        <b/>
        <sz val="11"/>
        <color rgb="FFFF0000"/>
        <rFont val="Calibri"/>
        <family val="2"/>
      </rPr>
      <t>Ngày thôi việc</t>
    </r>
  </si>
  <si>
    <t>View
Inv.</t>
  </si>
  <si>
    <t>Phân loại giờ công</t>
  </si>
  <si>
    <t>NGÀY TRONG THÁNG</t>
  </si>
  <si>
    <t>Tổng cộng</t>
  </si>
  <si>
    <t>NGHỈ VẮNG</t>
  </si>
  <si>
    <t>Tổng Công + (Vắng có lương: PN  + CT + KH+ PT)</t>
  </si>
  <si>
    <t>Vắng không lương, có BHXH: PB + TS</t>
  </si>
  <si>
    <t>Vắng vi phạm nội quy: OP + TRE+SOM +K.THE</t>
  </si>
  <si>
    <t>TĂNG CA</t>
  </si>
  <si>
    <t>Tổng giờ tăng ca chưa nhân hệ số</t>
  </si>
  <si>
    <t>Tổng giờ tăng ca có nhân hệ số</t>
  </si>
  <si>
    <t>Hidden
Column</t>
  </si>
  <si>
    <t>PN: Phép thường niên</t>
  </si>
  <si>
    <t>CT: Nghỉ đi công tác</t>
  </si>
  <si>
    <t>KH: Kết hôn (có lương)</t>
  </si>
  <si>
    <t>PT: Tang chế (có lương)</t>
  </si>
  <si>
    <t>PB: Phép bệnh</t>
  </si>
  <si>
    <t>TS: 
Thai sản</t>
  </si>
  <si>
    <t>NH70: Nghỉ hưởng 70%</t>
  </si>
  <si>
    <t>PP: Phép không lương</t>
  </si>
  <si>
    <t>OP: Nghỉ không phép</t>
  </si>
  <si>
    <t>TRE: 
Đi làm trễ</t>
  </si>
  <si>
    <t>SOM: 
Đi về sớm</t>
  </si>
  <si>
    <t>K.THE: Không bấm thẻ</t>
  </si>
  <si>
    <t>N.LE: Ngày lễ</t>
  </si>
  <si>
    <t>OT 150%</t>
  </si>
  <si>
    <t>OT 195%</t>
  </si>
  <si>
    <t>OT 200%</t>
  </si>
  <si>
    <t>OT 260%</t>
  </si>
  <si>
    <t>OT 300%</t>
  </si>
  <si>
    <t>OT 390%</t>
  </si>
  <si>
    <t>Sản xuất</t>
  </si>
  <si>
    <t>-</t>
  </si>
  <si>
    <t>C</t>
  </si>
  <si>
    <t>TT00001</t>
  </si>
  <si>
    <t>NGUYEN VAN SINH</t>
  </si>
  <si>
    <t>CNSX</t>
  </si>
  <si>
    <t>+</t>
  </si>
  <si>
    <t>W</t>
  </si>
  <si>
    <t>Công nhân</t>
  </si>
  <si>
    <t>─</t>
  </si>
  <si>
    <t>TT00026</t>
  </si>
  <si>
    <t>CHU VAN CUONG</t>
  </si>
  <si>
    <t>Lab.</t>
  </si>
  <si>
    <t>TT00030</t>
  </si>
  <si>
    <t>LE THI XUAN UYEN</t>
  </si>
  <si>
    <t>NV KN</t>
  </si>
  <si>
    <t>TT00031</t>
  </si>
  <si>
    <t>NGUYEN HOANG THACH VU</t>
  </si>
  <si>
    <t>Kế toán</t>
  </si>
  <si>
    <t>TT00037</t>
  </si>
  <si>
    <t>TRAN THI HUONG</t>
  </si>
  <si>
    <t>Thủ kho</t>
  </si>
  <si>
    <t>TT00038</t>
  </si>
  <si>
    <t>PHAN THI KIEU OANG</t>
  </si>
  <si>
    <t xml:space="preserve">Tài xế </t>
  </si>
  <si>
    <t>Nhân sự</t>
  </si>
  <si>
    <t>TT00060</t>
  </si>
  <si>
    <t>PHAM  THI THAI DUONG</t>
  </si>
  <si>
    <t>Bảo trì.</t>
  </si>
  <si>
    <t>TT00061</t>
  </si>
  <si>
    <t>PHAM VAN HA</t>
  </si>
  <si>
    <t>Bảo trì</t>
  </si>
  <si>
    <t>TT00062</t>
  </si>
  <si>
    <t>PHAM VAN GIAU</t>
  </si>
  <si>
    <t>TT00063</t>
  </si>
  <si>
    <t>NGUYEN THI HANH</t>
  </si>
  <si>
    <t>TT00064</t>
  </si>
  <si>
    <t>NGUYEN THI HOA</t>
  </si>
  <si>
    <t>TT00065</t>
  </si>
  <si>
    <t>LAM VAN HUNG</t>
  </si>
  <si>
    <t>TT00066</t>
  </si>
  <si>
    <t>TRAN THI HUE</t>
  </si>
  <si>
    <t>Marketing</t>
  </si>
  <si>
    <t>VO MANH HUNG</t>
  </si>
  <si>
    <t>Ghi chú:</t>
  </si>
  <si>
    <t>Tổng cộng:</t>
  </si>
  <si>
    <t>Giờ tăng ca ngày làm bình thường từ 6:00 - 22:00</t>
  </si>
  <si>
    <t>Giờ tăng ca đêm ngày làm bình thường từ 22:00 - 6:00 (bao gồm phụ cấp ca đêm 30%)</t>
  </si>
  <si>
    <t>Giờ tăng ca ngày nghỉ tuần từ 6:00 - 22:00</t>
  </si>
  <si>
    <t>Giờ tăng ca đêm ngày nghỉ tuần từ 22:00 - 6:00 (bao gồm phụ cấp ca đêm 30%)</t>
  </si>
  <si>
    <t>Giờ tăng ca ngày lễ từ 6:00 - 22:00</t>
  </si>
  <si>
    <t>Giờ tăng ca đêm ngày lễ từ 22:00 - 6:00 (bao gồm phụ cấp ca đêm 30%)</t>
  </si>
  <si>
    <t>No.</t>
  </si>
  <si>
    <t>LastName</t>
  </si>
  <si>
    <t>FirstName</t>
  </si>
  <si>
    <t>Organization</t>
  </si>
  <si>
    <t>Position</t>
  </si>
  <si>
    <t>Farewell</t>
  </si>
  <si>
    <t xml:space="preserve">Họ </t>
  </si>
  <si>
    <t>Tên</t>
  </si>
  <si>
    <t>Ngày sinh</t>
  </si>
  <si>
    <t>Phòng ban</t>
  </si>
  <si>
    <t xml:space="preserve">Ngày gia nhập </t>
  </si>
  <si>
    <t>Ngày thôi việc</t>
  </si>
</sst>
</file>

<file path=xl/styles.xml><?xml version="1.0" encoding="utf-8"?>
<styleSheet xmlns="http://schemas.openxmlformats.org/spreadsheetml/2006/main">
  <numFmts count="1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yyyy\-mmm\-dd\ hh:mm:ss"/>
    <numFmt numFmtId="165" formatCode="mm/dd/yyyy"/>
    <numFmt numFmtId="166" formatCode="ddd"/>
    <numFmt numFmtId="167" formatCode="[$-409]h:mm\ AM/PM;@"/>
    <numFmt numFmtId="168" formatCode="h:mm;@"/>
    <numFmt numFmtId="169" formatCode="[h]:mm"/>
    <numFmt numFmtId="170" formatCode="_(* #,##0_);_(* \(#,##0\);_(* &quot;-&quot;??_);_(@_)"/>
    <numFmt numFmtId="171" formatCode="dd"/>
    <numFmt numFmtId="172" formatCode="_(* #,##0.0_);_(* \(#,##0.0\);_(* &quot;-&quot;??.0_);_(@_)"/>
    <numFmt numFmtId="173" formatCode="d"/>
    <numFmt numFmtId="174" formatCode="&quot;Tháng &quot;mm&quot; năm &quot;yyyy"/>
    <numFmt numFmtId="175" formatCode="00"/>
    <numFmt numFmtId="176" formatCode="[$-F800]dddd\,\ mmmm\ dd\,\ yyyy"/>
  </numFmts>
  <fonts count="85">
    <font>
      <sz val="11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theme="1"/>
      <name val="Century Gothic"/>
      <family val="1"/>
    </font>
    <font>
      <b/>
      <sz val="22"/>
      <color theme="1" tint="0.34998626667073579"/>
      <name val="Century Gothic"/>
      <family val="1"/>
    </font>
    <font>
      <b/>
      <sz val="22"/>
      <color theme="9" tint="-0.249977111117893"/>
      <name val="Century Gothic"/>
      <family val="1"/>
    </font>
    <font>
      <sz val="12"/>
      <color theme="1"/>
      <name val="Arial"/>
      <family val="2"/>
    </font>
    <font>
      <b/>
      <sz val="10"/>
      <color theme="1" tint="0.34998626667073579"/>
      <name val="Century Gothic"/>
      <family val="2"/>
    </font>
    <font>
      <sz val="14"/>
      <color theme="1" tint="0.34998626667073579"/>
      <name val="Century Gothic"/>
      <family val="2"/>
    </font>
    <font>
      <sz val="22"/>
      <color theme="7" tint="-0.249977111117893"/>
      <name val="Century Gothic"/>
      <family val="2"/>
    </font>
    <font>
      <sz val="12"/>
      <color theme="1" tint="0.34998626667073579"/>
      <name val="Century Gothic"/>
      <family val="1"/>
    </font>
    <font>
      <sz val="14"/>
      <color theme="1" tint="0.34998626667073579"/>
      <name val="Arial"/>
      <family val="2"/>
    </font>
    <font>
      <sz val="12"/>
      <color theme="1" tint="0.34998626667073579"/>
      <name val="Arial"/>
      <family val="2"/>
    </font>
    <font>
      <b/>
      <sz val="9"/>
      <color theme="0"/>
      <name val="Century Gothic"/>
      <family val="1"/>
    </font>
    <font>
      <sz val="9"/>
      <color theme="1"/>
      <name val="Arial"/>
      <family val="2"/>
    </font>
    <font>
      <sz val="10"/>
      <color theme="1"/>
      <name val="Century Gothic"/>
      <family val="2"/>
    </font>
    <font>
      <b/>
      <sz val="10"/>
      <color theme="1"/>
      <name val="Century Gothic"/>
      <family val="2"/>
    </font>
    <font>
      <sz val="12"/>
      <color theme="1"/>
      <name val="Calibri"/>
      <family val="2"/>
      <scheme val="minor"/>
    </font>
    <font>
      <sz val="10"/>
      <color theme="1"/>
      <name val="CALIBRI"/>
      <family val="2"/>
    </font>
    <font>
      <sz val="26"/>
      <color theme="1"/>
      <name val="CALIBRI"/>
      <family val="2"/>
    </font>
    <font>
      <sz val="8"/>
      <color theme="1"/>
      <name val="Arial"/>
      <family val="2"/>
    </font>
    <font>
      <b/>
      <sz val="20"/>
      <color theme="9" tint="-0.249977111117893"/>
      <name val="Century Gothic"/>
      <family val="1"/>
    </font>
    <font>
      <sz val="20"/>
      <color theme="7" tint="-0.249977111117893"/>
      <name val="Century Gothic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000000"/>
      <name val="Calibri"/>
      <scheme val="minor"/>
    </font>
    <font>
      <sz val="10"/>
      <color rgb="FF000000"/>
      <name val="Arial"/>
    </font>
    <font>
      <sz val="10"/>
      <color theme="1"/>
      <name val="Arial"/>
    </font>
    <font>
      <b/>
      <sz val="10"/>
      <color rgb="FFFF0000"/>
      <name val="Times New Roman"/>
    </font>
    <font>
      <sz val="10"/>
      <color theme="1"/>
      <name val="Times New Roman"/>
    </font>
    <font>
      <b/>
      <sz val="10"/>
      <color theme="1"/>
      <name val="Times New Roman"/>
    </font>
    <font>
      <b/>
      <sz val="12"/>
      <color rgb="FF000000"/>
      <name val="Arial"/>
    </font>
    <font>
      <sz val="14"/>
      <color rgb="FF000000"/>
      <name val="Arial"/>
    </font>
    <font>
      <b/>
      <sz val="14"/>
      <color theme="1"/>
      <name val="Arial"/>
    </font>
    <font>
      <sz val="10"/>
      <color theme="1"/>
      <name val="Calibri"/>
    </font>
    <font>
      <sz val="18"/>
      <color rgb="FF000000"/>
      <name val="Arial"/>
    </font>
    <font>
      <b/>
      <sz val="18"/>
      <color theme="1"/>
      <name val="Arial"/>
    </font>
    <font>
      <sz val="10"/>
      <name val="Arial"/>
    </font>
    <font>
      <b/>
      <sz val="9"/>
      <color rgb="FFFFFFFF"/>
      <name val="Arial"/>
    </font>
    <font>
      <b/>
      <sz val="9"/>
      <color theme="1"/>
      <name val="Arial"/>
    </font>
    <font>
      <b/>
      <sz val="10"/>
      <color rgb="FF000000"/>
      <name val="Arial"/>
    </font>
    <font>
      <b/>
      <sz val="10"/>
      <color theme="1"/>
      <name val="Arial"/>
    </font>
    <font>
      <sz val="11"/>
      <color indexed="8"/>
      <name val="Calibri"/>
      <family val="2"/>
    </font>
    <font>
      <sz val="11"/>
      <color indexed="8"/>
      <name val="Arial"/>
      <family val="2"/>
    </font>
    <font>
      <sz val="12"/>
      <name val=".VnTime"/>
    </font>
    <font>
      <sz val="1"/>
      <color theme="4" tint="0.79998168889431442"/>
      <name val="Calibri"/>
      <family val="2"/>
      <scheme val="minor"/>
    </font>
    <font>
      <sz val="36"/>
      <color rgb="FF0070C0"/>
      <name val="Calibri"/>
      <family val="2"/>
      <scheme val="minor"/>
    </font>
    <font>
      <sz val="1"/>
      <color theme="4" tint="0.79995117038483843"/>
      <name val="Calibri"/>
      <family val="2"/>
      <scheme val="minor"/>
    </font>
    <font>
      <sz val="1"/>
      <color rgb="FFFF0000"/>
      <name val="Calibri"/>
      <family val="2"/>
      <scheme val="minor"/>
    </font>
    <font>
      <sz val="1"/>
      <color theme="4" tint="0.79995117038483843"/>
      <name val="Times New Roman"/>
      <family val="1"/>
    </font>
    <font>
      <sz val="14"/>
      <color theme="1"/>
      <name val="Calibri"/>
      <family val="2"/>
      <scheme val="minor"/>
    </font>
    <font>
      <i/>
      <sz val="12"/>
      <color rgb="FFFF0000"/>
      <name val="Calibri"/>
      <family val="2"/>
    </font>
    <font>
      <b/>
      <sz val="11"/>
      <name val="Calibri"/>
      <family val="2"/>
    </font>
    <font>
      <b/>
      <sz val="11"/>
      <color rgb="FFFF0000"/>
      <name val="Calibri"/>
      <family val="2"/>
    </font>
    <font>
      <sz val="11"/>
      <name val="Calibri"/>
      <family val="2"/>
    </font>
    <font>
      <b/>
      <sz val="12"/>
      <name val="Calibri"/>
      <family val="2"/>
    </font>
    <font>
      <b/>
      <sz val="10"/>
      <name val="Calibri"/>
      <family val="2"/>
    </font>
    <font>
      <b/>
      <sz val="11"/>
      <color theme="4" tint="-0.249977111117893"/>
      <name val="Calibri"/>
      <family val="2"/>
    </font>
    <font>
      <sz val="11"/>
      <color theme="1"/>
      <name val="Calibri"/>
      <family val="2"/>
    </font>
    <font>
      <sz val="9"/>
      <name val="Calibri"/>
      <family val="2"/>
    </font>
    <font>
      <b/>
      <sz val="11"/>
      <color theme="4" tint="0.79995117038483843"/>
      <name val="Calibri"/>
      <scheme val="minor"/>
    </font>
    <font>
      <b/>
      <u val="double"/>
      <sz val="14"/>
      <color rgb="FF0000FF"/>
      <name val="Times New Roman"/>
      <family val="1"/>
    </font>
    <font>
      <b/>
      <sz val="11"/>
      <color theme="1"/>
      <name val="Times New Roman"/>
      <family val="1"/>
    </font>
    <font>
      <b/>
      <sz val="18"/>
      <color rgb="FFFF0000"/>
      <name val="Calibri"/>
      <family val="2"/>
    </font>
    <font>
      <b/>
      <sz val="11"/>
      <color theme="1"/>
      <name val="Calibri"/>
      <family val="2"/>
    </font>
    <font>
      <b/>
      <i/>
      <sz val="11"/>
      <name val="Calibri"/>
      <family val="2"/>
    </font>
    <font>
      <b/>
      <i/>
      <sz val="11"/>
      <color theme="1"/>
      <name val="Calibri"/>
      <family val="2"/>
    </font>
    <font>
      <b/>
      <sz val="11"/>
      <color theme="1"/>
      <name val="Calibri"/>
      <scheme val="minor"/>
    </font>
    <font>
      <sz val="1"/>
      <color theme="4" tint="0.79995117038483843"/>
      <name val="Calibri"/>
      <scheme val="minor"/>
    </font>
    <font>
      <sz val="11"/>
      <color theme="1"/>
      <name val="Times New Roman"/>
      <family val="1"/>
    </font>
    <font>
      <sz val="10"/>
      <color theme="4" tint="-0.249977111117893"/>
      <name val="Calibri"/>
      <family val="2"/>
    </font>
    <font>
      <sz val="11"/>
      <color rgb="FFFF0000"/>
      <name val="Calibri"/>
      <family val="2"/>
    </font>
    <font>
      <i/>
      <sz val="9"/>
      <name val="Calibri"/>
      <family val="2"/>
    </font>
    <font>
      <i/>
      <sz val="9"/>
      <color theme="1"/>
      <name val="Calibri"/>
      <family val="2"/>
    </font>
    <font>
      <sz val="10"/>
      <name val="Times New Roman"/>
      <family val="1"/>
    </font>
    <font>
      <b/>
      <sz val="1"/>
      <color theme="4" tint="0.79995117038483843"/>
      <name val="Calibri"/>
      <scheme val="minor"/>
    </font>
    <font>
      <b/>
      <i/>
      <sz val="11"/>
      <color theme="9" tint="-0.249977111117893"/>
      <name val="Calibri"/>
      <family val="2"/>
    </font>
    <font>
      <b/>
      <sz val="11"/>
      <color theme="9" tint="-0.249977111117893"/>
      <name val="Calibri"/>
      <family val="2"/>
    </font>
    <font>
      <b/>
      <sz val="14"/>
      <color theme="9" tint="-0.249977111117893"/>
      <name val="Calibri"/>
      <family val="2"/>
    </font>
    <font>
      <b/>
      <sz val="10"/>
      <color theme="9" tint="-0.249977111117893"/>
      <name val="Calibri"/>
      <family val="2"/>
    </font>
    <font>
      <b/>
      <sz val="10"/>
      <color rgb="FFFF0000"/>
      <name val="Calibri"/>
      <family val="2"/>
    </font>
    <font>
      <b/>
      <i/>
      <sz val="9"/>
      <color rgb="FFFF0000"/>
      <name val="Calibri"/>
      <family val="2"/>
    </font>
    <font>
      <b/>
      <sz val="11"/>
      <color theme="9" tint="-0.249977111117893"/>
      <name val="Calibri"/>
      <scheme val="minor"/>
    </font>
    <font>
      <i/>
      <sz val="11"/>
      <color theme="1"/>
      <name val="Calibri"/>
      <family val="2"/>
    </font>
    <font>
      <sz val="10"/>
      <color rgb="FF000000"/>
      <name val="Calibri"/>
      <family val="2"/>
      <scheme val="minor"/>
    </font>
    <font>
      <b/>
      <sz val="11"/>
      <color rgb="FFFFFFFF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theme="5" tint="0.7999816888943144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BDD6EE"/>
        <bgColor rgb="FFBDD6EE"/>
      </patternFill>
    </fill>
    <fill>
      <patternFill patternType="solid">
        <fgColor rgb="FFC5E0B3"/>
        <bgColor rgb="FFC5E0B3"/>
      </patternFill>
    </fill>
    <fill>
      <patternFill patternType="solid">
        <fgColor rgb="FF0B5394"/>
        <bgColor rgb="FF0B5394"/>
      </patternFill>
    </fill>
    <fill>
      <patternFill patternType="solid">
        <fgColor rgb="FFCFE2F3"/>
        <bgColor rgb="FFCFE2F3"/>
      </patternFill>
    </fill>
    <fill>
      <patternFill patternType="solid">
        <fgColor rgb="FFD9EAD3"/>
        <bgColor rgb="FFD9EAD3"/>
      </patternFill>
    </fill>
    <fill>
      <patternFill patternType="solid">
        <fgColor theme="4" tint="0.79995117038483843"/>
        <bgColor indexed="64"/>
      </patternFill>
    </fill>
    <fill>
      <gradientFill degree="90">
        <stop position="0">
          <color theme="4" tint="0.39997558519241921"/>
        </stop>
        <stop position="1">
          <color theme="4" tint="0.79998168889431442"/>
        </stop>
      </gradientFill>
    </fill>
    <fill>
      <patternFill patternType="solid">
        <fgColor theme="0" tint="-4.9989318521683403E-2"/>
        <bgColor auto="1"/>
      </patternFill>
    </fill>
    <fill>
      <gradientFill degree="90">
        <stop position="0">
          <color theme="4" tint="0.79998168889431442"/>
        </stop>
        <stop position="1">
          <color theme="4" tint="0.59999389629810485"/>
        </stop>
      </gradientFill>
    </fill>
    <fill>
      <patternFill patternType="solid">
        <fgColor theme="4" tint="0.79992065187536243"/>
        <bgColor indexed="64"/>
      </patternFill>
    </fill>
    <fill>
      <patternFill patternType="solid">
        <fgColor theme="3" tint="0.39997558519241921"/>
        <bgColor indexed="64"/>
      </patternFill>
    </fill>
  </fills>
  <borders count="10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theme="7" tint="-0.24994659260841701"/>
      </top>
      <bottom style="hair">
        <color theme="7" tint="-0.24994659260841701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ck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 style="thick">
        <color theme="0" tint="-0.249977111117893"/>
      </left>
      <right/>
      <top/>
      <bottom style="thin">
        <color theme="0" tint="-0.249977111117893"/>
      </bottom>
      <diagonal/>
    </border>
    <border>
      <left/>
      <right style="thick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ck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 style="medium">
        <color rgb="FF3599B8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medium">
        <color rgb="FF3599B8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medium">
        <color rgb="FFF2C80F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medium">
        <color rgb="FFF2C80F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medium">
        <color rgb="FFFB5A56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medium">
        <color rgb="FFFB5A56"/>
      </bottom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ck">
        <color theme="0" tint="-0.249977111117893"/>
      </left>
      <right/>
      <top/>
      <bottom/>
      <diagonal/>
    </border>
    <border>
      <left style="thin">
        <color theme="0" tint="-0.14996795556505021"/>
      </left>
      <right/>
      <top style="medium">
        <color rgb="FF3599B8"/>
      </top>
      <bottom/>
      <diagonal/>
    </border>
    <border>
      <left/>
      <right style="thin">
        <color theme="0" tint="-0.14996795556505021"/>
      </right>
      <top style="medium">
        <color rgb="FF3599B8"/>
      </top>
      <bottom/>
      <diagonal/>
    </border>
    <border>
      <left style="thin">
        <color theme="0" tint="-0.14996795556505021"/>
      </left>
      <right/>
      <top style="medium">
        <color rgb="FFF2C80F"/>
      </top>
      <bottom/>
      <diagonal/>
    </border>
    <border>
      <left/>
      <right style="thin">
        <color theme="0" tint="-0.14996795556505021"/>
      </right>
      <top style="medium">
        <color rgb="FFF2C80F"/>
      </top>
      <bottom/>
      <diagonal/>
    </border>
    <border>
      <left/>
      <right/>
      <top/>
      <bottom style="hair">
        <color theme="7" tint="-0.24994659260841701"/>
      </bottom>
      <diagonal/>
    </border>
    <border>
      <left/>
      <right style="thick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B7B7B7"/>
      </right>
      <top style="thin">
        <color rgb="FF000000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000000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/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/>
      <top style="thin">
        <color rgb="FF000000"/>
      </top>
      <bottom style="thin">
        <color rgb="FFB7B7B7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666666"/>
      </bottom>
      <diagonal/>
    </border>
    <border>
      <left style="thin">
        <color rgb="FF000000"/>
      </left>
      <right style="thin">
        <color rgb="FF000000"/>
      </right>
      <top/>
      <bottom style="thin">
        <color rgb="FF666666"/>
      </bottom>
      <diagonal/>
    </border>
    <border>
      <left style="thin">
        <color rgb="FF000000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/>
      <top style="thin">
        <color rgb="FFB7B7B7"/>
      </top>
      <bottom style="thin">
        <color rgb="FFB7B7B7"/>
      </bottom>
      <diagonal/>
    </border>
    <border>
      <left style="thin">
        <color rgb="FF000000"/>
      </left>
      <right style="thin">
        <color rgb="FF000000"/>
      </right>
      <top style="thin">
        <color rgb="FF666666"/>
      </top>
      <bottom style="thin">
        <color rgb="FF666666"/>
      </bottom>
      <diagonal/>
    </border>
    <border>
      <left/>
      <right/>
      <top/>
      <bottom style="medium">
        <color rgb="FF0070C0"/>
      </bottom>
      <diagonal/>
    </border>
    <border>
      <left style="medium">
        <color rgb="FF0070C0"/>
      </left>
      <right style="thin">
        <color rgb="FF0070C0"/>
      </right>
      <top style="medium">
        <color rgb="FF0070C0"/>
      </top>
      <bottom/>
      <diagonal/>
    </border>
    <border>
      <left style="thin">
        <color rgb="FF0070C0"/>
      </left>
      <right style="thin">
        <color rgb="FF0070C0"/>
      </right>
      <top style="medium">
        <color rgb="FF0070C0"/>
      </top>
      <bottom/>
      <diagonal/>
    </border>
    <border>
      <left/>
      <right/>
      <top style="medium">
        <color rgb="FF0070C0"/>
      </top>
      <bottom/>
      <diagonal/>
    </border>
    <border>
      <left style="thin">
        <color rgb="FF0070C0"/>
      </left>
      <right/>
      <top style="medium">
        <color rgb="FF0070C0"/>
      </top>
      <bottom/>
      <diagonal/>
    </border>
    <border>
      <left style="thin">
        <color rgb="FF0070C0"/>
      </left>
      <right/>
      <top style="medium">
        <color rgb="FF0070C0"/>
      </top>
      <bottom style="thin">
        <color rgb="FF0070C0"/>
      </bottom>
      <diagonal/>
    </border>
    <border>
      <left/>
      <right/>
      <top style="medium">
        <color rgb="FF0070C0"/>
      </top>
      <bottom style="thin">
        <color rgb="FF0070C0"/>
      </bottom>
      <diagonal/>
    </border>
    <border>
      <left style="thin">
        <color rgb="FF0070C0"/>
      </left>
      <right style="medium">
        <color rgb="FF0070C0"/>
      </right>
      <top style="medium">
        <color rgb="FF0070C0"/>
      </top>
      <bottom/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/>
      <diagonal/>
    </border>
    <border>
      <left style="medium">
        <color rgb="FF0070C0"/>
      </left>
      <right style="thin">
        <color rgb="FF0070C0"/>
      </right>
      <top/>
      <bottom/>
      <diagonal/>
    </border>
    <border>
      <left style="thin">
        <color rgb="FF0070C0"/>
      </left>
      <right style="thin">
        <color rgb="FF0070C0"/>
      </right>
      <top/>
      <bottom/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/>
      <top style="thin">
        <color rgb="FF0070C0"/>
      </top>
      <bottom/>
      <diagonal/>
    </border>
    <border>
      <left style="thin">
        <color rgb="FF0070C0"/>
      </left>
      <right/>
      <top/>
      <bottom/>
      <diagonal/>
    </border>
    <border>
      <left style="thin">
        <color rgb="FF0070C0"/>
      </left>
      <right style="medium">
        <color rgb="FF0070C0"/>
      </right>
      <top/>
      <bottom/>
      <diagonal/>
    </border>
    <border>
      <left style="medium">
        <color rgb="FF0070C0"/>
      </left>
      <right style="medium">
        <color rgb="FF0070C0"/>
      </right>
      <top/>
      <bottom/>
      <diagonal/>
    </border>
    <border>
      <left style="medium">
        <color rgb="FF0070C0"/>
      </left>
      <right style="thin">
        <color rgb="FF0070C0"/>
      </right>
      <top/>
      <bottom style="medium">
        <color rgb="FF0070C0"/>
      </bottom>
      <diagonal/>
    </border>
    <border>
      <left style="thin">
        <color rgb="FF0070C0"/>
      </left>
      <right style="thin">
        <color rgb="FF0070C0"/>
      </right>
      <top/>
      <bottom style="medium">
        <color rgb="FF0070C0"/>
      </bottom>
      <diagonal/>
    </border>
    <border>
      <left style="thin">
        <color rgb="FF0070C0"/>
      </left>
      <right style="hair">
        <color rgb="FF0070C0"/>
      </right>
      <top style="thin">
        <color rgb="FF0070C0"/>
      </top>
      <bottom style="medium">
        <color rgb="FF0070C0"/>
      </bottom>
      <diagonal/>
    </border>
    <border>
      <left style="thin">
        <color rgb="FF0070C0"/>
      </left>
      <right/>
      <top/>
      <bottom style="medium">
        <color rgb="FF0070C0"/>
      </bottom>
      <diagonal/>
    </border>
    <border>
      <left style="thin">
        <color rgb="FF0070C0"/>
      </left>
      <right style="medium">
        <color rgb="FF0070C0"/>
      </right>
      <top/>
      <bottom style="medium">
        <color rgb="FF0070C0"/>
      </bottom>
      <diagonal/>
    </border>
    <border>
      <left style="medium">
        <color rgb="FF0070C0"/>
      </left>
      <right style="medium">
        <color rgb="FF0070C0"/>
      </right>
      <top/>
      <bottom style="thin">
        <color rgb="FF0070C0"/>
      </bottom>
      <diagonal/>
    </border>
    <border>
      <left/>
      <right style="medium">
        <color rgb="FF0070C0"/>
      </right>
      <top/>
      <bottom/>
      <diagonal/>
    </border>
    <border>
      <left style="medium">
        <color rgb="FF0070C0"/>
      </left>
      <right/>
      <top style="medium">
        <color rgb="FF0070C0"/>
      </top>
      <bottom style="hair">
        <color rgb="FF0070C0"/>
      </bottom>
      <diagonal/>
    </border>
    <border>
      <left/>
      <right/>
      <top style="medium">
        <color rgb="FF0070C0"/>
      </top>
      <bottom style="hair">
        <color rgb="FF0070C0"/>
      </bottom>
      <diagonal/>
    </border>
    <border>
      <left/>
      <right style="hair">
        <color rgb="FF0070C0"/>
      </right>
      <top style="medium">
        <color rgb="FF0070C0"/>
      </top>
      <bottom style="hair">
        <color rgb="FF0070C0"/>
      </bottom>
      <diagonal/>
    </border>
    <border>
      <left style="hair">
        <color rgb="FF0070C0"/>
      </left>
      <right/>
      <top style="medium">
        <color rgb="FF0070C0"/>
      </top>
      <bottom style="hair">
        <color rgb="FF0070C0"/>
      </bottom>
      <diagonal/>
    </border>
    <border>
      <left/>
      <right style="hair">
        <color rgb="FF0070C0"/>
      </right>
      <top style="hair">
        <color rgb="FF0070C0"/>
      </top>
      <bottom style="hair">
        <color rgb="FF0070C0"/>
      </bottom>
      <diagonal/>
    </border>
    <border>
      <left style="hair">
        <color rgb="FF0070C0"/>
      </left>
      <right style="hair">
        <color rgb="FF0070C0"/>
      </right>
      <top style="hair">
        <color rgb="FF0070C0"/>
      </top>
      <bottom style="hair">
        <color rgb="FF0070C0"/>
      </bottom>
      <diagonal/>
    </border>
    <border>
      <left style="hair">
        <color rgb="FF0070C0"/>
      </left>
      <right style="hair">
        <color rgb="FF0070C0"/>
      </right>
      <top style="medium">
        <color rgb="FF0070C0"/>
      </top>
      <bottom style="hair">
        <color rgb="FF0070C0"/>
      </bottom>
      <diagonal/>
    </border>
    <border>
      <left style="medium">
        <color rgb="FF0070C0"/>
      </left>
      <right style="medium">
        <color rgb="FF0070C0"/>
      </right>
      <top style="thin">
        <color rgb="FF0070C0"/>
      </top>
      <bottom style="thin">
        <color rgb="FF0070C0"/>
      </bottom>
      <diagonal/>
    </border>
    <border>
      <left style="medium">
        <color rgb="FF0070C0"/>
      </left>
      <right style="hair">
        <color rgb="FF0070C0"/>
      </right>
      <top style="hair">
        <color rgb="FF0070C0"/>
      </top>
      <bottom/>
      <diagonal/>
    </border>
    <border>
      <left/>
      <right style="hair">
        <color rgb="FF0070C0"/>
      </right>
      <top style="hair">
        <color rgb="FF0070C0"/>
      </top>
      <bottom/>
      <diagonal/>
    </border>
    <border>
      <left style="hair">
        <color rgb="FF0070C0"/>
      </left>
      <right style="hair">
        <color rgb="FF0070C0"/>
      </right>
      <top style="hair">
        <color rgb="FF0070C0"/>
      </top>
      <bottom/>
      <diagonal/>
    </border>
    <border>
      <left style="medium">
        <color rgb="FF0070C0"/>
      </left>
      <right style="medium">
        <color rgb="FF0070C0"/>
      </right>
      <top style="thin">
        <color rgb="FF0070C0"/>
      </top>
      <bottom/>
      <diagonal/>
    </border>
    <border>
      <left style="medium">
        <color rgb="FF0070C0"/>
      </left>
      <right/>
      <top style="hair">
        <color rgb="FF0070C0"/>
      </top>
      <bottom style="hair">
        <color rgb="FF0070C0"/>
      </bottom>
      <diagonal/>
    </border>
    <border>
      <left/>
      <right/>
      <top style="hair">
        <color rgb="FF0070C0"/>
      </top>
      <bottom style="hair">
        <color rgb="FF0070C0"/>
      </bottom>
      <diagonal/>
    </border>
    <border>
      <left style="hair">
        <color rgb="FF0070C0"/>
      </left>
      <right/>
      <top style="hair">
        <color rgb="FF0070C0"/>
      </top>
      <bottom style="hair">
        <color rgb="FF0070C0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hair">
        <color rgb="FF0070C0"/>
      </top>
      <bottom/>
      <diagonal/>
    </border>
    <border>
      <left/>
      <right/>
      <top/>
      <bottom style="hair">
        <color rgb="FF0070C0"/>
      </bottom>
      <diagonal/>
    </border>
    <border>
      <left/>
      <right style="hair">
        <color rgb="FF0070C0"/>
      </right>
      <top/>
      <bottom style="hair">
        <color rgb="FF0070C0"/>
      </bottom>
      <diagonal/>
    </border>
    <border>
      <left style="hair">
        <color rgb="FF0070C0"/>
      </left>
      <right style="hair">
        <color rgb="FF0070C0"/>
      </right>
      <top style="hair">
        <color rgb="FF0070C0"/>
      </top>
      <bottom style="medium">
        <color rgb="FF0070C0"/>
      </bottom>
      <diagonal/>
    </border>
    <border>
      <left style="medium">
        <color rgb="FF0070C0"/>
      </left>
      <right style="medium">
        <color rgb="FF0070C0"/>
      </right>
      <top style="thin">
        <color rgb="FF0070C0"/>
      </top>
      <bottom style="medium">
        <color theme="4"/>
      </bottom>
      <diagonal/>
    </border>
    <border>
      <left/>
      <right style="thin">
        <color rgb="FF0070C0"/>
      </right>
      <top style="medium">
        <color rgb="FF0070C0"/>
      </top>
      <bottom style="thin">
        <color rgb="FF0070C0"/>
      </bottom>
      <diagonal/>
    </border>
    <border>
      <left style="thin">
        <color rgb="FF0070C0"/>
      </left>
      <right style="hair">
        <color rgb="FF0070C0"/>
      </right>
      <top style="medium">
        <color rgb="FF0070C0"/>
      </top>
      <bottom style="thin">
        <color rgb="FF0070C0"/>
      </bottom>
      <diagonal/>
    </border>
    <border>
      <left style="hair">
        <color rgb="FF0070C0"/>
      </left>
      <right style="hair">
        <color rgb="FF0070C0"/>
      </right>
      <top style="medium">
        <color rgb="FF0070C0"/>
      </top>
      <bottom style="thin">
        <color rgb="FF0070C0"/>
      </bottom>
      <diagonal/>
    </border>
    <border>
      <left style="hair">
        <color rgb="FF0070C0"/>
      </left>
      <right/>
      <top style="medium">
        <color rgb="FF0070C0"/>
      </top>
      <bottom style="thin">
        <color rgb="FF0070C0"/>
      </bottom>
      <diagonal/>
    </border>
    <border>
      <left style="hair">
        <color rgb="FF0070C0"/>
      </left>
      <right style="thin">
        <color rgb="FF0070C0"/>
      </right>
      <top style="medium">
        <color rgb="FF0070C0"/>
      </top>
      <bottom style="thin">
        <color rgb="FF0070C0"/>
      </bottom>
      <diagonal/>
    </border>
    <border>
      <left/>
      <right/>
      <top style="medium">
        <color theme="4"/>
      </top>
      <bottom/>
      <diagonal/>
    </border>
    <border>
      <left/>
      <right style="thin">
        <color rgb="FF0070C0"/>
      </right>
      <top/>
      <bottom style="medium">
        <color rgb="FF0070C0"/>
      </bottom>
      <diagonal/>
    </border>
  </borders>
  <cellStyleXfs count="11">
    <xf numFmtId="0" fontId="0" fillId="0" borderId="0"/>
    <xf numFmtId="0" fontId="16" fillId="0" borderId="0"/>
    <xf numFmtId="0" fontId="24" fillId="0" borderId="0"/>
    <xf numFmtId="173" fontId="41" fillId="0" borderId="0" applyFont="0" applyFill="0" applyBorder="0" applyAlignment="0" applyProtection="0"/>
    <xf numFmtId="44" fontId="22" fillId="0" borderId="0" applyFont="0" applyFill="0" applyBorder="0" applyAlignment="0" applyProtection="0"/>
    <xf numFmtId="0" fontId="42" fillId="0" borderId="0" applyProtection="0"/>
    <xf numFmtId="0" fontId="43" fillId="0" borderId="0"/>
    <xf numFmtId="0" fontId="22" fillId="0" borderId="0"/>
    <xf numFmtId="0" fontId="41" fillId="0" borderId="0"/>
    <xf numFmtId="0" fontId="41" fillId="0" borderId="0" applyFont="0" applyFill="0" applyBorder="0" applyAlignment="0" applyProtection="0"/>
    <xf numFmtId="0" fontId="83" fillId="0" borderId="0"/>
  </cellStyleXfs>
  <cellXfs count="305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164" fontId="0" fillId="0" borderId="0" xfId="0" applyNumberFormat="1"/>
    <xf numFmtId="0" fontId="5" fillId="0" borderId="0" xfId="1" applyFont="1"/>
    <xf numFmtId="0" fontId="2" fillId="0" borderId="0" xfId="1" applyFont="1"/>
    <xf numFmtId="49" fontId="3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vertical="center"/>
    </xf>
    <xf numFmtId="0" fontId="4" fillId="0" borderId="0" xfId="1" applyFont="1" applyAlignment="1">
      <alignment vertical="center"/>
    </xf>
    <xf numFmtId="0" fontId="2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9" fillId="0" borderId="0" xfId="1" applyFont="1" applyAlignment="1">
      <alignment vertical="center"/>
    </xf>
    <xf numFmtId="0" fontId="11" fillId="0" borderId="0" xfId="1" applyFont="1" applyAlignment="1">
      <alignment vertical="center"/>
    </xf>
    <xf numFmtId="0" fontId="12" fillId="6" borderId="8" xfId="1" applyFont="1" applyFill="1" applyBorder="1" applyAlignment="1">
      <alignment horizontal="center" vertical="center"/>
    </xf>
    <xf numFmtId="0" fontId="12" fillId="7" borderId="9" xfId="1" applyFont="1" applyFill="1" applyBorder="1" applyAlignment="1">
      <alignment horizontal="center" vertical="center"/>
    </xf>
    <xf numFmtId="0" fontId="12" fillId="6" borderId="9" xfId="1" applyFont="1" applyFill="1" applyBorder="1" applyAlignment="1">
      <alignment horizontal="center" vertical="center"/>
    </xf>
    <xf numFmtId="0" fontId="12" fillId="6" borderId="10" xfId="1" applyFont="1" applyFill="1" applyBorder="1" applyAlignment="1">
      <alignment horizontal="center" vertical="center"/>
    </xf>
    <xf numFmtId="0" fontId="13" fillId="0" borderId="0" xfId="1" applyFont="1" applyAlignment="1">
      <alignment vertical="center"/>
    </xf>
    <xf numFmtId="0" fontId="14" fillId="0" borderId="9" xfId="1" applyFont="1" applyBorder="1" applyAlignment="1">
      <alignment horizontal="left" vertical="center" indent="1"/>
    </xf>
    <xf numFmtId="167" fontId="14" fillId="8" borderId="8" xfId="1" applyNumberFormat="1" applyFont="1" applyFill="1" applyBorder="1" applyAlignment="1">
      <alignment horizontal="center" vertical="center"/>
    </xf>
    <xf numFmtId="168" fontId="14" fillId="8" borderId="9" xfId="1" applyNumberFormat="1" applyFont="1" applyFill="1" applyBorder="1" applyAlignment="1">
      <alignment horizontal="center" vertical="center"/>
    </xf>
    <xf numFmtId="167" fontId="14" fillId="8" borderId="9" xfId="1" applyNumberFormat="1" applyFont="1" applyFill="1" applyBorder="1" applyAlignment="1">
      <alignment horizontal="center" vertical="center"/>
    </xf>
    <xf numFmtId="168" fontId="15" fillId="3" borderId="10" xfId="1" applyNumberFormat="1" applyFont="1" applyFill="1" applyBorder="1" applyAlignment="1">
      <alignment horizontal="center" vertical="center"/>
    </xf>
    <xf numFmtId="168" fontId="15" fillId="9" borderId="11" xfId="1" applyNumberFormat="1" applyFont="1" applyFill="1" applyBorder="1" applyAlignment="1">
      <alignment horizontal="center" vertical="center"/>
    </xf>
    <xf numFmtId="0" fontId="6" fillId="0" borderId="3" xfId="1" applyFont="1" applyBorder="1" applyAlignment="1">
      <alignment horizontal="left" vertical="center" wrapText="1"/>
    </xf>
    <xf numFmtId="0" fontId="6" fillId="0" borderId="6" xfId="1" applyFont="1" applyBorder="1" applyAlignment="1">
      <alignment horizontal="left" vertical="center" wrapText="1"/>
    </xf>
    <xf numFmtId="0" fontId="9" fillId="0" borderId="0" xfId="1" applyFont="1" applyAlignment="1">
      <alignment horizontal="left" vertical="center" wrapText="1"/>
    </xf>
    <xf numFmtId="0" fontId="2" fillId="0" borderId="0" xfId="1" applyFont="1" applyBorder="1"/>
    <xf numFmtId="0" fontId="6" fillId="0" borderId="0" xfId="1" applyFont="1" applyBorder="1" applyAlignment="1">
      <alignment horizontal="left" vertical="center" wrapText="1"/>
    </xf>
    <xf numFmtId="0" fontId="6" fillId="0" borderId="5" xfId="1" applyFont="1" applyBorder="1" applyAlignment="1">
      <alignment horizontal="left" vertical="center" wrapText="1"/>
    </xf>
    <xf numFmtId="2" fontId="15" fillId="3" borderId="10" xfId="1" applyNumberFormat="1" applyFont="1" applyFill="1" applyBorder="1" applyAlignment="1">
      <alignment horizontal="center" vertical="center"/>
    </xf>
    <xf numFmtId="0" fontId="12" fillId="7" borderId="10" xfId="1" applyFont="1" applyFill="1" applyBorder="1" applyAlignment="1">
      <alignment horizontal="center" vertical="center"/>
    </xf>
    <xf numFmtId="0" fontId="19" fillId="0" borderId="9" xfId="1" applyFont="1" applyBorder="1" applyAlignment="1">
      <alignment horizontal="center"/>
    </xf>
    <xf numFmtId="0" fontId="12" fillId="5" borderId="33" xfId="1" applyFont="1" applyFill="1" applyBorder="1" applyAlignment="1">
      <alignment horizontal="center" vertical="center" wrapText="1"/>
    </xf>
    <xf numFmtId="0" fontId="12" fillId="5" borderId="4" xfId="1" applyFont="1" applyFill="1" applyBorder="1" applyAlignment="1">
      <alignment horizontal="center" vertical="center"/>
    </xf>
    <xf numFmtId="0" fontId="12" fillId="5" borderId="9" xfId="1" applyFont="1" applyFill="1" applyBorder="1" applyAlignment="1">
      <alignment horizontal="center" vertical="center"/>
    </xf>
    <xf numFmtId="0" fontId="12" fillId="5" borderId="12" xfId="1" applyFont="1" applyFill="1" applyBorder="1" applyAlignment="1">
      <alignment horizontal="center" vertical="center"/>
    </xf>
    <xf numFmtId="0" fontId="12" fillId="5" borderId="9" xfId="1" applyFont="1" applyFill="1" applyBorder="1" applyAlignment="1">
      <alignment horizontal="center" vertical="center" wrapText="1"/>
    </xf>
    <xf numFmtId="168" fontId="14" fillId="8" borderId="10" xfId="1" applyNumberFormat="1" applyFont="1" applyFill="1" applyBorder="1" applyAlignment="1">
      <alignment vertical="center"/>
    </xf>
    <xf numFmtId="14" fontId="14" fillId="0" borderId="10" xfId="1" applyNumberFormat="1" applyFont="1" applyBorder="1" applyAlignment="1">
      <alignment horizontal="left" vertical="center" indent="1"/>
    </xf>
    <xf numFmtId="0" fontId="4" fillId="3" borderId="32" xfId="1" applyFont="1" applyFill="1" applyBorder="1" applyAlignment="1">
      <alignment vertical="center"/>
    </xf>
    <xf numFmtId="0" fontId="8" fillId="3" borderId="2" xfId="1" applyFont="1" applyFill="1" applyBorder="1" applyAlignment="1">
      <alignment vertical="center"/>
    </xf>
    <xf numFmtId="0" fontId="20" fillId="3" borderId="32" xfId="1" applyFont="1" applyFill="1" applyBorder="1" applyAlignment="1">
      <alignment horizontal="right" vertical="center"/>
    </xf>
    <xf numFmtId="0" fontId="21" fillId="3" borderId="2" xfId="1" applyFont="1" applyFill="1" applyBorder="1" applyAlignment="1">
      <alignment horizontal="center" vertical="center"/>
    </xf>
    <xf numFmtId="0" fontId="25" fillId="0" borderId="0" xfId="2" applyFont="1" applyAlignment="1">
      <alignment vertical="center"/>
    </xf>
    <xf numFmtId="0" fontId="24" fillId="0" borderId="0" xfId="2" applyFont="1" applyAlignment="1"/>
    <xf numFmtId="0" fontId="25" fillId="0" borderId="0" xfId="2" applyFont="1" applyAlignment="1">
      <alignment horizontal="center" vertical="center"/>
    </xf>
    <xf numFmtId="21" fontId="25" fillId="0" borderId="0" xfId="2" applyNumberFormat="1" applyFont="1" applyAlignment="1">
      <alignment horizontal="center" vertical="center"/>
    </xf>
    <xf numFmtId="0" fontId="26" fillId="0" borderId="0" xfId="2" applyFont="1" applyAlignment="1">
      <alignment vertical="center"/>
    </xf>
    <xf numFmtId="0" fontId="27" fillId="0" borderId="0" xfId="2" applyFont="1" applyAlignment="1"/>
    <xf numFmtId="0" fontId="28" fillId="0" borderId="0" xfId="2" quotePrefix="1" applyFont="1" applyAlignment="1"/>
    <xf numFmtId="0" fontId="28" fillId="0" borderId="0" xfId="2" applyFont="1" applyAlignment="1"/>
    <xf numFmtId="0" fontId="29" fillId="0" borderId="0" xfId="2" applyFont="1" applyAlignment="1"/>
    <xf numFmtId="0" fontId="29" fillId="0" borderId="0" xfId="2" applyFont="1" applyAlignment="1">
      <alignment horizontal="center"/>
    </xf>
    <xf numFmtId="0" fontId="26" fillId="0" borderId="0" xfId="2" applyFont="1"/>
    <xf numFmtId="2" fontId="26" fillId="0" borderId="0" xfId="2" applyNumberFormat="1" applyFont="1" applyAlignment="1">
      <alignment horizontal="center" vertical="center"/>
    </xf>
    <xf numFmtId="170" fontId="26" fillId="0" borderId="0" xfId="2" applyNumberFormat="1" applyFont="1" applyAlignment="1">
      <alignment horizontal="center" vertical="center"/>
    </xf>
    <xf numFmtId="0" fontId="30" fillId="0" borderId="0" xfId="2" applyFont="1" applyAlignment="1">
      <alignment horizontal="center" vertical="center"/>
    </xf>
    <xf numFmtId="171" fontId="31" fillId="0" borderId="34" xfId="2" applyNumberFormat="1" applyFont="1" applyBorder="1" applyAlignment="1">
      <alignment horizontal="center" vertical="center"/>
    </xf>
    <xf numFmtId="0" fontId="32" fillId="0" borderId="0" xfId="2" applyFont="1" applyAlignment="1">
      <alignment horizontal="left" vertical="center"/>
    </xf>
    <xf numFmtId="0" fontId="33" fillId="0" borderId="0" xfId="2" applyFont="1" applyAlignment="1"/>
    <xf numFmtId="0" fontId="34" fillId="0" borderId="0" xfId="2" applyFont="1" applyAlignment="1">
      <alignment horizontal="center" vertical="center"/>
    </xf>
    <xf numFmtId="0" fontId="34" fillId="11" borderId="34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34" fillId="12" borderId="34" xfId="2" applyFont="1" applyFill="1" applyBorder="1" applyAlignment="1">
      <alignment horizontal="center" vertical="center"/>
    </xf>
    <xf numFmtId="0" fontId="26" fillId="0" borderId="34" xfId="2" applyFont="1" applyBorder="1" applyAlignment="1">
      <alignment horizontal="center" vertical="center"/>
    </xf>
    <xf numFmtId="0" fontId="25" fillId="0" borderId="43" xfId="2" applyFont="1" applyBorder="1" applyAlignment="1">
      <alignment vertical="center"/>
    </xf>
    <xf numFmtId="0" fontId="25" fillId="0" borderId="44" xfId="2" applyFont="1" applyBorder="1" applyAlignment="1">
      <alignment vertical="center"/>
    </xf>
    <xf numFmtId="0" fontId="25" fillId="0" borderId="45" xfId="2" applyFont="1" applyBorder="1" applyAlignment="1">
      <alignment horizontal="center" vertical="center"/>
    </xf>
    <xf numFmtId="0" fontId="25" fillId="0" borderId="44" xfId="2" applyFont="1" applyBorder="1" applyAlignment="1">
      <alignment horizontal="center" vertical="center"/>
    </xf>
    <xf numFmtId="20" fontId="26" fillId="0" borderId="44" xfId="2" applyNumberFormat="1" applyFont="1" applyBorder="1" applyAlignment="1">
      <alignment vertical="center"/>
    </xf>
    <xf numFmtId="20" fontId="26" fillId="0" borderId="46" xfId="2" applyNumberFormat="1" applyFont="1" applyBorder="1" applyAlignment="1">
      <alignment vertical="center"/>
    </xf>
    <xf numFmtId="20" fontId="26" fillId="0" borderId="47" xfId="2" applyNumberFormat="1" applyFont="1" applyBorder="1" applyAlignment="1">
      <alignment vertical="center"/>
    </xf>
    <xf numFmtId="43" fontId="26" fillId="0" borderId="48" xfId="2" applyNumberFormat="1" applyFont="1" applyBorder="1" applyAlignment="1">
      <alignment vertical="center"/>
    </xf>
    <xf numFmtId="170" fontId="26" fillId="0" borderId="48" xfId="2" applyNumberFormat="1" applyFont="1" applyBorder="1" applyAlignment="1">
      <alignment horizontal="center" vertical="center"/>
    </xf>
    <xf numFmtId="172" fontId="26" fillId="0" borderId="49" xfId="2" applyNumberFormat="1" applyFont="1" applyBorder="1" applyAlignment="1">
      <alignment horizontal="center" vertical="center"/>
    </xf>
    <xf numFmtId="170" fontId="26" fillId="15" borderId="49" xfId="2" applyNumberFormat="1" applyFont="1" applyFill="1" applyBorder="1" applyAlignment="1">
      <alignment horizontal="center" vertical="center"/>
    </xf>
    <xf numFmtId="170" fontId="26" fillId="0" borderId="49" xfId="2" applyNumberFormat="1" applyFont="1" applyBorder="1" applyAlignment="1">
      <alignment horizontal="center" vertical="center"/>
    </xf>
    <xf numFmtId="0" fontId="25" fillId="0" borderId="50" xfId="2" applyFont="1" applyBorder="1" applyAlignment="1">
      <alignment vertical="center"/>
    </xf>
    <xf numFmtId="0" fontId="25" fillId="0" borderId="46" xfId="2" applyFont="1" applyBorder="1" applyAlignment="1">
      <alignment vertical="center"/>
    </xf>
    <xf numFmtId="0" fontId="25" fillId="0" borderId="46" xfId="2" applyFont="1" applyBorder="1" applyAlignment="1">
      <alignment horizontal="center" vertical="center"/>
    </xf>
    <xf numFmtId="20" fontId="26" fillId="0" borderId="51" xfId="2" applyNumberFormat="1" applyFont="1" applyBorder="1" applyAlignment="1">
      <alignment vertical="center"/>
    </xf>
    <xf numFmtId="43" fontId="26" fillId="0" borderId="52" xfId="2" applyNumberFormat="1" applyFont="1" applyBorder="1" applyAlignment="1">
      <alignment vertical="center"/>
    </xf>
    <xf numFmtId="170" fontId="26" fillId="0" borderId="52" xfId="2" applyNumberFormat="1" applyFont="1" applyBorder="1" applyAlignment="1">
      <alignment horizontal="center" vertical="center"/>
    </xf>
    <xf numFmtId="172" fontId="26" fillId="0" borderId="52" xfId="2" applyNumberFormat="1" applyFont="1" applyBorder="1" applyAlignment="1">
      <alignment horizontal="center" vertical="center"/>
    </xf>
    <xf numFmtId="170" fontId="26" fillId="15" borderId="52" xfId="2" applyNumberFormat="1" applyFont="1" applyFill="1" applyBorder="1" applyAlignment="1">
      <alignment horizontal="center" vertical="center"/>
    </xf>
    <xf numFmtId="0" fontId="44" fillId="16" borderId="0" xfId="7" applyFont="1" applyFill="1"/>
    <xf numFmtId="0" fontId="45" fillId="16" borderId="0" xfId="7" applyFont="1" applyFill="1" applyAlignment="1"/>
    <xf numFmtId="0" fontId="22" fillId="16" borderId="0" xfId="7" applyFill="1"/>
    <xf numFmtId="174" fontId="44" fillId="16" borderId="0" xfId="5" applyNumberFormat="1" applyFont="1" applyFill="1" applyBorder="1" applyAlignment="1">
      <alignment vertical="center"/>
    </xf>
    <xf numFmtId="174" fontId="46" fillId="16" borderId="0" xfId="5" applyNumberFormat="1" applyFont="1" applyFill="1" applyBorder="1" applyAlignment="1">
      <alignment vertical="center"/>
    </xf>
    <xf numFmtId="174" fontId="47" fillId="16" borderId="0" xfId="5" applyNumberFormat="1" applyFont="1" applyFill="1" applyBorder="1" applyAlignment="1">
      <alignment vertical="center"/>
    </xf>
    <xf numFmtId="0" fontId="48" fillId="16" borderId="0" xfId="8" applyFont="1" applyFill="1"/>
    <xf numFmtId="0" fontId="44" fillId="16" borderId="0" xfId="7" applyFont="1" applyFill="1" applyAlignment="1">
      <alignment vertical="top"/>
    </xf>
    <xf numFmtId="0" fontId="49" fillId="16" borderId="53" xfId="7" applyFont="1" applyFill="1" applyBorder="1" applyAlignment="1">
      <alignment vertical="top"/>
    </xf>
    <xf numFmtId="0" fontId="22" fillId="16" borderId="0" xfId="7" applyFill="1" applyAlignment="1">
      <alignment vertical="top"/>
    </xf>
    <xf numFmtId="0" fontId="57" fillId="16" borderId="0" xfId="7" applyFont="1" applyFill="1"/>
    <xf numFmtId="173" fontId="54" fillId="17" borderId="64" xfId="3" applyNumberFormat="1" applyFont="1" applyFill="1" applyBorder="1" applyAlignment="1">
      <alignment horizontal="center" vertical="center" wrapText="1"/>
    </xf>
    <xf numFmtId="0" fontId="44" fillId="16" borderId="0" xfId="7" applyFont="1" applyFill="1" applyBorder="1"/>
    <xf numFmtId="3" fontId="58" fillId="19" borderId="72" xfId="3" applyNumberFormat="1" applyFont="1" applyFill="1" applyBorder="1" applyAlignment="1">
      <alignment horizontal="center" textRotation="90"/>
    </xf>
    <xf numFmtId="0" fontId="59" fillId="20" borderId="76" xfId="7" applyFont="1" applyFill="1" applyBorder="1" applyAlignment="1">
      <alignment vertical="center"/>
    </xf>
    <xf numFmtId="0" fontId="63" fillId="0" borderId="81" xfId="7" applyFont="1" applyFill="1" applyBorder="1" applyAlignment="1">
      <alignment horizontal="center" vertical="center"/>
    </xf>
    <xf numFmtId="0" fontId="63" fillId="0" borderId="82" xfId="7" applyFont="1" applyFill="1" applyBorder="1" applyAlignment="1">
      <alignment horizontal="center" vertical="center"/>
    </xf>
    <xf numFmtId="0" fontId="63" fillId="0" borderId="82" xfId="7" applyNumberFormat="1" applyFont="1" applyFill="1" applyBorder="1" applyAlignment="1">
      <alignment horizontal="center" vertical="center"/>
    </xf>
    <xf numFmtId="0" fontId="56" fillId="0" borderId="82" xfId="7" applyNumberFormat="1" applyFont="1" applyFill="1" applyBorder="1" applyAlignment="1">
      <alignment horizontal="center" vertical="center"/>
    </xf>
    <xf numFmtId="0" fontId="63" fillId="0" borderId="82" xfId="4" applyNumberFormat="1" applyFont="1" applyFill="1" applyBorder="1" applyAlignment="1">
      <alignment horizontal="center" vertical="center"/>
    </xf>
    <xf numFmtId="2" fontId="63" fillId="0" borderId="82" xfId="7" applyNumberFormat="1" applyFont="1" applyFill="1" applyBorder="1" applyAlignment="1">
      <alignment horizontal="right" vertical="center"/>
    </xf>
    <xf numFmtId="2" fontId="63" fillId="0" borderId="83" xfId="7" applyNumberFormat="1" applyFont="1" applyFill="1" applyBorder="1" applyAlignment="1">
      <alignment horizontal="right" vertical="center"/>
    </xf>
    <xf numFmtId="2" fontId="52" fillId="0" borderId="83" xfId="7" applyNumberFormat="1" applyFont="1" applyFill="1" applyBorder="1" applyAlignment="1">
      <alignment horizontal="right" vertical="center"/>
    </xf>
    <xf numFmtId="2" fontId="64" fillId="0" borderId="83" xfId="7" applyNumberFormat="1" applyFont="1" applyFill="1" applyBorder="1" applyAlignment="1">
      <alignment horizontal="right" vertical="center"/>
    </xf>
    <xf numFmtId="2" fontId="65" fillId="0" borderId="83" xfId="7" applyNumberFormat="1" applyFont="1" applyFill="1" applyBorder="1" applyAlignment="1">
      <alignment horizontal="right" vertical="center"/>
    </xf>
    <xf numFmtId="0" fontId="63" fillId="18" borderId="84" xfId="7" applyFont="1" applyFill="1" applyBorder="1" applyAlignment="1">
      <alignment horizontal="center" vertical="center"/>
    </xf>
    <xf numFmtId="0" fontId="63" fillId="20" borderId="0" xfId="7" applyFont="1" applyFill="1" applyAlignment="1">
      <alignment vertical="center"/>
    </xf>
    <xf numFmtId="0" fontId="66" fillId="20" borderId="0" xfId="7" applyFont="1" applyFill="1" applyAlignment="1">
      <alignment vertical="center"/>
    </xf>
    <xf numFmtId="0" fontId="67" fillId="20" borderId="76" xfId="7" applyFont="1" applyFill="1" applyBorder="1" applyAlignment="1">
      <alignment vertical="center"/>
    </xf>
    <xf numFmtId="0" fontId="68" fillId="0" borderId="85" xfId="7" applyFont="1" applyFill="1" applyBorder="1" applyAlignment="1">
      <alignment horizontal="center" vertical="center"/>
    </xf>
    <xf numFmtId="0" fontId="68" fillId="0" borderId="86" xfId="7" applyFont="1" applyFill="1" applyBorder="1" applyAlignment="1">
      <alignment horizontal="center" vertical="center"/>
    </xf>
    <xf numFmtId="0" fontId="68" fillId="0" borderId="82" xfId="7" applyFont="1" applyFill="1" applyBorder="1" applyAlignment="1">
      <alignment horizontal="center" vertical="center"/>
    </xf>
    <xf numFmtId="0" fontId="68" fillId="0" borderId="82" xfId="7" applyFont="1" applyFill="1" applyBorder="1" applyAlignment="1">
      <alignment horizontal="left" vertical="center"/>
    </xf>
    <xf numFmtId="14" fontId="68" fillId="0" borderId="86" xfId="7" applyNumberFormat="1" applyFont="1" applyFill="1" applyBorder="1" applyAlignment="1">
      <alignment horizontal="left" vertical="center"/>
    </xf>
    <xf numFmtId="176" fontId="56" fillId="0" borderId="87" xfId="7" applyNumberFormat="1" applyFont="1" applyFill="1" applyBorder="1" applyAlignment="1">
      <alignment horizontal="center" vertical="center"/>
    </xf>
    <xf numFmtId="0" fontId="57" fillId="0" borderId="86" xfId="7" applyFont="1" applyFill="1" applyBorder="1" applyAlignment="1">
      <alignment horizontal="center" vertical="center"/>
    </xf>
    <xf numFmtId="0" fontId="17" fillId="0" borderId="86" xfId="7" applyFont="1" applyFill="1" applyBorder="1" applyAlignment="1">
      <alignment horizontal="center" vertical="center"/>
    </xf>
    <xf numFmtId="0" fontId="17" fillId="0" borderId="87" xfId="7" applyFont="1" applyFill="1" applyBorder="1" applyAlignment="1">
      <alignment horizontal="center" vertical="center"/>
    </xf>
    <xf numFmtId="0" fontId="17" fillId="0" borderId="87" xfId="7" applyNumberFormat="1" applyFont="1" applyFill="1" applyBorder="1" applyAlignment="1">
      <alignment horizontal="center" vertical="center"/>
    </xf>
    <xf numFmtId="0" fontId="69" fillId="0" borderId="87" xfId="7" applyNumberFormat="1" applyFont="1" applyFill="1" applyBorder="1" applyAlignment="1">
      <alignment horizontal="center" vertical="center"/>
    </xf>
    <xf numFmtId="0" fontId="17" fillId="0" borderId="87" xfId="4" applyNumberFormat="1" applyFont="1" applyFill="1" applyBorder="1" applyAlignment="1">
      <alignment horizontal="center" vertical="center"/>
    </xf>
    <xf numFmtId="2" fontId="57" fillId="0" borderId="82" xfId="7" applyNumberFormat="1" applyFont="1" applyFill="1" applyBorder="1" applyAlignment="1">
      <alignment horizontal="right" vertical="center"/>
    </xf>
    <xf numFmtId="2" fontId="57" fillId="0" borderId="87" xfId="7" applyNumberFormat="1" applyFont="1" applyFill="1" applyBorder="1" applyAlignment="1">
      <alignment horizontal="right" vertical="center"/>
    </xf>
    <xf numFmtId="2" fontId="70" fillId="0" borderId="87" xfId="7" applyNumberFormat="1" applyFont="1" applyFill="1" applyBorder="1" applyAlignment="1">
      <alignment horizontal="right" vertical="center"/>
    </xf>
    <xf numFmtId="2" fontId="71" fillId="0" borderId="87" xfId="7" applyNumberFormat="1" applyFont="1" applyFill="1" applyBorder="1" applyAlignment="1">
      <alignment horizontal="right" vertical="center"/>
    </xf>
    <xf numFmtId="2" fontId="72" fillId="0" borderId="87" xfId="7" applyNumberFormat="1" applyFont="1" applyFill="1" applyBorder="1" applyAlignment="1">
      <alignment horizontal="right" vertical="center"/>
    </xf>
    <xf numFmtId="0" fontId="57" fillId="18" borderId="88" xfId="7" applyFont="1" applyFill="1" applyBorder="1" applyAlignment="1">
      <alignment horizontal="center" vertical="center"/>
    </xf>
    <xf numFmtId="0" fontId="57" fillId="20" borderId="0" xfId="7" applyFont="1" applyFill="1" applyAlignment="1">
      <alignment vertical="center"/>
    </xf>
    <xf numFmtId="0" fontId="22" fillId="20" borderId="0" xfId="7" applyFill="1" applyAlignment="1">
      <alignment vertical="center"/>
    </xf>
    <xf numFmtId="0" fontId="73" fillId="0" borderId="82" xfId="7" applyFont="1" applyBorder="1"/>
    <xf numFmtId="0" fontId="68" fillId="0" borderId="86" xfId="7" applyFont="1" applyFill="1" applyBorder="1" applyAlignment="1">
      <alignment horizontal="left" vertical="center"/>
    </xf>
    <xf numFmtId="0" fontId="63" fillId="0" borderId="86" xfId="7" applyFont="1" applyFill="1" applyBorder="1" applyAlignment="1">
      <alignment horizontal="center" vertical="center"/>
    </xf>
    <xf numFmtId="0" fontId="63" fillId="0" borderId="87" xfId="7" applyFont="1" applyFill="1" applyBorder="1" applyAlignment="1">
      <alignment horizontal="center" vertical="center"/>
    </xf>
    <xf numFmtId="0" fontId="63" fillId="0" borderId="87" xfId="7" applyNumberFormat="1" applyFont="1" applyFill="1" applyBorder="1" applyAlignment="1">
      <alignment horizontal="center" vertical="center"/>
    </xf>
    <xf numFmtId="0" fontId="56" fillId="0" borderId="87" xfId="7" applyNumberFormat="1" applyFont="1" applyFill="1" applyBorder="1" applyAlignment="1">
      <alignment horizontal="center" vertical="center"/>
    </xf>
    <xf numFmtId="0" fontId="63" fillId="0" borderId="87" xfId="4" applyNumberFormat="1" applyFont="1" applyFill="1" applyBorder="1" applyAlignment="1">
      <alignment horizontal="center" vertical="center"/>
    </xf>
    <xf numFmtId="2" fontId="63" fillId="0" borderId="87" xfId="7" applyNumberFormat="1" applyFont="1" applyFill="1" applyBorder="1" applyAlignment="1">
      <alignment horizontal="right" vertical="center"/>
    </xf>
    <xf numFmtId="2" fontId="52" fillId="0" borderId="87" xfId="7" applyNumberFormat="1" applyFont="1" applyFill="1" applyBorder="1" applyAlignment="1">
      <alignment horizontal="right" vertical="center"/>
    </xf>
    <xf numFmtId="2" fontId="64" fillId="0" borderId="87" xfId="7" applyNumberFormat="1" applyFont="1" applyFill="1" applyBorder="1" applyAlignment="1">
      <alignment horizontal="right" vertical="center"/>
    </xf>
    <xf numFmtId="2" fontId="65" fillId="0" borderId="87" xfId="7" applyNumberFormat="1" applyFont="1" applyFill="1" applyBorder="1" applyAlignment="1">
      <alignment horizontal="right" vertical="center"/>
    </xf>
    <xf numFmtId="0" fontId="63" fillId="18" borderId="88" xfId="7" applyFont="1" applyFill="1" applyBorder="1" applyAlignment="1">
      <alignment horizontal="center" vertical="center"/>
    </xf>
    <xf numFmtId="0" fontId="73" fillId="0" borderId="92" xfId="7" applyFont="1" applyBorder="1"/>
    <xf numFmtId="14" fontId="68" fillId="0" borderId="82" xfId="7" applyNumberFormat="1" applyFont="1" applyFill="1" applyBorder="1" applyAlignment="1">
      <alignment horizontal="left" vertical="center"/>
    </xf>
    <xf numFmtId="0" fontId="68" fillId="0" borderId="96" xfId="7" applyFont="1" applyFill="1" applyBorder="1" applyAlignment="1">
      <alignment horizontal="center" vertical="center"/>
    </xf>
    <xf numFmtId="0" fontId="73" fillId="0" borderId="96" xfId="7" applyFont="1" applyBorder="1"/>
    <xf numFmtId="0" fontId="68" fillId="0" borderId="96" xfId="7" applyFont="1" applyFill="1" applyBorder="1" applyAlignment="1">
      <alignment horizontal="left" vertical="center"/>
    </xf>
    <xf numFmtId="0" fontId="57" fillId="18" borderId="97" xfId="7" applyFont="1" applyFill="1" applyBorder="1" applyAlignment="1">
      <alignment horizontal="center" vertical="center"/>
    </xf>
    <xf numFmtId="0" fontId="74" fillId="20" borderId="0" xfId="7" applyFont="1" applyFill="1" applyAlignment="1">
      <alignment vertical="center"/>
    </xf>
    <xf numFmtId="0" fontId="75" fillId="20" borderId="56" xfId="7" applyFont="1" applyFill="1" applyBorder="1" applyAlignment="1">
      <alignment vertical="center"/>
    </xf>
    <xf numFmtId="0" fontId="76" fillId="20" borderId="56" xfId="7" applyFont="1" applyFill="1" applyBorder="1" applyAlignment="1">
      <alignment horizontal="left" vertical="center"/>
    </xf>
    <xf numFmtId="0" fontId="76" fillId="20" borderId="58" xfId="7" applyFont="1" applyFill="1" applyBorder="1" applyAlignment="1">
      <alignment horizontal="left" vertical="center"/>
    </xf>
    <xf numFmtId="0" fontId="76" fillId="20" borderId="59" xfId="7" applyFont="1" applyFill="1" applyBorder="1" applyAlignment="1">
      <alignment vertical="center"/>
    </xf>
    <xf numFmtId="0" fontId="76" fillId="20" borderId="59" xfId="7" applyFont="1" applyFill="1" applyBorder="1" applyAlignment="1">
      <alignment horizontal="center" vertical="center"/>
    </xf>
    <xf numFmtId="0" fontId="77" fillId="20" borderId="98" xfId="7" applyFont="1" applyFill="1" applyBorder="1" applyAlignment="1">
      <alignment horizontal="right" vertical="center"/>
    </xf>
    <xf numFmtId="0" fontId="78" fillId="20" borderId="99" xfId="7" applyFont="1" applyFill="1" applyBorder="1" applyAlignment="1">
      <alignment horizontal="center" vertical="center"/>
    </xf>
    <xf numFmtId="0" fontId="78" fillId="20" borderId="100" xfId="7" applyFont="1" applyFill="1" applyBorder="1" applyAlignment="1">
      <alignment horizontal="center" vertical="center"/>
    </xf>
    <xf numFmtId="2" fontId="78" fillId="20" borderId="100" xfId="7" applyNumberFormat="1" applyFont="1" applyFill="1" applyBorder="1" applyAlignment="1">
      <alignment horizontal="right" vertical="center"/>
    </xf>
    <xf numFmtId="2" fontId="79" fillId="20" borderId="100" xfId="7" applyNumberFormat="1" applyFont="1" applyFill="1" applyBorder="1" applyAlignment="1">
      <alignment horizontal="right" vertical="center"/>
    </xf>
    <xf numFmtId="2" fontId="80" fillId="20" borderId="100" xfId="7" applyNumberFormat="1" applyFont="1" applyFill="1" applyBorder="1" applyAlignment="1">
      <alignment horizontal="right" vertical="center"/>
    </xf>
    <xf numFmtId="2" fontId="78" fillId="20" borderId="101" xfId="7" applyNumberFormat="1" applyFont="1" applyFill="1" applyBorder="1" applyAlignment="1">
      <alignment horizontal="right" vertical="center"/>
    </xf>
    <xf numFmtId="2" fontId="78" fillId="20" borderId="102" xfId="7" applyNumberFormat="1" applyFont="1" applyFill="1" applyBorder="1" applyAlignment="1">
      <alignment horizontal="right" vertical="center"/>
    </xf>
    <xf numFmtId="0" fontId="76" fillId="20" borderId="103" xfId="7" applyFont="1" applyFill="1" applyBorder="1" applyAlignment="1">
      <alignment vertical="center"/>
    </xf>
    <xf numFmtId="0" fontId="76" fillId="20" borderId="0" xfId="7" applyFont="1" applyFill="1" applyAlignment="1">
      <alignment vertical="center"/>
    </xf>
    <xf numFmtId="0" fontId="81" fillId="20" borderId="0" xfId="7" applyFont="1" applyFill="1" applyAlignment="1">
      <alignment vertical="center"/>
    </xf>
    <xf numFmtId="0" fontId="82" fillId="16" borderId="0" xfId="7" applyFont="1" applyFill="1" applyBorder="1"/>
    <xf numFmtId="0" fontId="57" fillId="16" borderId="0" xfId="7" applyFont="1" applyFill="1" applyBorder="1" applyAlignment="1">
      <alignment horizontal="left"/>
    </xf>
    <xf numFmtId="0" fontId="57" fillId="16" borderId="0" xfId="7" applyFont="1" applyFill="1" applyBorder="1"/>
    <xf numFmtId="14" fontId="57" fillId="16" borderId="0" xfId="7" applyNumberFormat="1" applyFont="1" applyFill="1" applyBorder="1" applyAlignment="1">
      <alignment horizontal="center"/>
    </xf>
    <xf numFmtId="14" fontId="57" fillId="16" borderId="0" xfId="7" applyNumberFormat="1" applyFont="1" applyFill="1" applyBorder="1"/>
    <xf numFmtId="0" fontId="57" fillId="16" borderId="0" xfId="7" applyFont="1" applyFill="1" applyBorder="1" applyAlignment="1">
      <alignment horizontal="center"/>
    </xf>
    <xf numFmtId="0" fontId="70" fillId="16" borderId="0" xfId="7" applyFont="1" applyFill="1" applyBorder="1"/>
    <xf numFmtId="0" fontId="82" fillId="16" borderId="0" xfId="7" applyFont="1" applyFill="1"/>
    <xf numFmtId="0" fontId="57" fillId="16" borderId="0" xfId="7" applyFont="1" applyFill="1" applyAlignment="1">
      <alignment horizontal="left"/>
    </xf>
    <xf numFmtId="14" fontId="57" fillId="16" borderId="0" xfId="7" applyNumberFormat="1" applyFont="1" applyFill="1" applyAlignment="1">
      <alignment horizontal="center"/>
    </xf>
    <xf numFmtId="14" fontId="57" fillId="16" borderId="0" xfId="7" applyNumberFormat="1" applyFont="1" applyFill="1"/>
    <xf numFmtId="0" fontId="57" fillId="16" borderId="0" xfId="7" applyFont="1" applyFill="1" applyAlignment="1">
      <alignment horizontal="center"/>
    </xf>
    <xf numFmtId="0" fontId="70" fillId="16" borderId="0" xfId="7" applyFont="1" applyFill="1"/>
    <xf numFmtId="0" fontId="57" fillId="16" borderId="0" xfId="7" applyFont="1" applyFill="1" applyAlignment="1">
      <alignment wrapText="1"/>
    </xf>
    <xf numFmtId="0" fontId="22" fillId="16" borderId="0" xfId="7" applyFill="1" applyAlignment="1">
      <alignment horizontal="left"/>
    </xf>
    <xf numFmtId="14" fontId="22" fillId="16" borderId="0" xfId="7" applyNumberFormat="1" applyFill="1" applyAlignment="1">
      <alignment horizontal="center"/>
    </xf>
    <xf numFmtId="14" fontId="22" fillId="16" borderId="0" xfId="7" applyNumberFormat="1" applyFill="1"/>
    <xf numFmtId="0" fontId="22" fillId="16" borderId="0" xfId="7" applyFill="1" applyAlignment="1">
      <alignment horizontal="center"/>
    </xf>
    <xf numFmtId="0" fontId="23" fillId="16" borderId="0" xfId="7" applyFont="1" applyFill="1"/>
    <xf numFmtId="0" fontId="83" fillId="0" borderId="0" xfId="10" applyFont="1" applyAlignment="1"/>
    <xf numFmtId="175" fontId="84" fillId="21" borderId="104" xfId="6" applyNumberFormat="1" applyFont="1" applyFill="1" applyBorder="1" applyAlignment="1">
      <alignment horizontal="center" vertical="center"/>
    </xf>
    <xf numFmtId="175" fontId="84" fillId="21" borderId="71" xfId="6" applyNumberFormat="1" applyFont="1" applyFill="1" applyBorder="1" applyAlignment="1">
      <alignment horizontal="center" vertical="center" wrapText="1"/>
    </xf>
    <xf numFmtId="0" fontId="84" fillId="21" borderId="71" xfId="6" applyFont="1" applyFill="1" applyBorder="1" applyAlignment="1">
      <alignment horizontal="center" vertical="center"/>
    </xf>
    <xf numFmtId="0" fontId="84" fillId="21" borderId="71" xfId="6" applyFont="1" applyFill="1" applyBorder="1" applyAlignment="1">
      <alignment horizontal="center" vertical="center" wrapText="1"/>
    </xf>
    <xf numFmtId="3" fontId="84" fillId="21" borderId="71" xfId="9" applyNumberFormat="1" applyFont="1" applyFill="1" applyBorder="1" applyAlignment="1">
      <alignment horizontal="center" vertical="center" wrapText="1"/>
    </xf>
    <xf numFmtId="0" fontId="83" fillId="0" borderId="0" xfId="10" applyFont="1" applyFill="1" applyAlignment="1"/>
    <xf numFmtId="0" fontId="22" fillId="0" borderId="0" xfId="7" applyFill="1"/>
    <xf numFmtId="0" fontId="22" fillId="0" borderId="0" xfId="7" applyFill="1" applyAlignment="1">
      <alignment horizontal="left"/>
    </xf>
    <xf numFmtId="0" fontId="22" fillId="0" borderId="0" xfId="7" applyFill="1" applyAlignment="1">
      <alignment horizontal="center" vertical="center"/>
    </xf>
    <xf numFmtId="0" fontId="39" fillId="0" borderId="40" xfId="2" applyFont="1" applyBorder="1" applyAlignment="1">
      <alignment horizontal="center" vertical="center"/>
    </xf>
    <xf numFmtId="0" fontId="39" fillId="0" borderId="41" xfId="2" applyFont="1" applyBorder="1" applyAlignment="1">
      <alignment horizontal="center" vertical="center"/>
    </xf>
    <xf numFmtId="0" fontId="39" fillId="0" borderId="42" xfId="2" applyFont="1" applyBorder="1" applyAlignment="1">
      <alignment horizontal="center" vertical="center"/>
    </xf>
    <xf numFmtId="0" fontId="40" fillId="0" borderId="37" xfId="2" applyFont="1" applyBorder="1" applyAlignment="1">
      <alignment horizontal="center" vertical="center"/>
    </xf>
    <xf numFmtId="0" fontId="40" fillId="0" borderId="39" xfId="2" applyFont="1" applyBorder="1" applyAlignment="1">
      <alignment horizontal="center" vertical="center"/>
    </xf>
    <xf numFmtId="171" fontId="26" fillId="0" borderId="37" xfId="2" applyNumberFormat="1" applyFont="1" applyBorder="1" applyAlignment="1">
      <alignment horizontal="center" vertical="center"/>
    </xf>
    <xf numFmtId="171" fontId="26" fillId="0" borderId="39" xfId="2" applyNumberFormat="1" applyFont="1" applyBorder="1" applyAlignment="1">
      <alignment horizontal="center" vertical="center"/>
    </xf>
    <xf numFmtId="0" fontId="35" fillId="0" borderId="35" xfId="2" applyFont="1" applyBorder="1" applyAlignment="1">
      <alignment horizontal="center" vertical="center"/>
    </xf>
    <xf numFmtId="0" fontId="36" fillId="0" borderId="36" xfId="2" applyFont="1" applyBorder="1"/>
    <xf numFmtId="0" fontId="32" fillId="0" borderId="37" xfId="2" applyFont="1" applyBorder="1" applyAlignment="1">
      <alignment horizontal="center" vertical="center"/>
    </xf>
    <xf numFmtId="0" fontId="24" fillId="0" borderId="38" xfId="2" applyFont="1" applyBorder="1" applyAlignment="1"/>
    <xf numFmtId="0" fontId="24" fillId="0" borderId="39" xfId="2" applyFont="1" applyBorder="1" applyAlignment="1"/>
    <xf numFmtId="0" fontId="37" fillId="13" borderId="38" xfId="2" applyFont="1" applyFill="1" applyBorder="1" applyAlignment="1">
      <alignment horizontal="center" vertical="center" wrapText="1"/>
    </xf>
    <xf numFmtId="0" fontId="36" fillId="0" borderId="38" xfId="2" applyFont="1" applyBorder="1"/>
    <xf numFmtId="0" fontId="36" fillId="0" borderId="39" xfId="2" applyFont="1" applyBorder="1"/>
    <xf numFmtId="170" fontId="38" fillId="14" borderId="40" xfId="2" applyNumberFormat="1" applyFont="1" applyFill="1" applyBorder="1" applyAlignment="1">
      <alignment horizontal="center" wrapText="1"/>
    </xf>
    <xf numFmtId="170" fontId="38" fillId="14" borderId="41" xfId="2" applyNumberFormat="1" applyFont="1" applyFill="1" applyBorder="1" applyAlignment="1">
      <alignment horizontal="center" wrapText="1"/>
    </xf>
    <xf numFmtId="170" fontId="38" fillId="14" borderId="42" xfId="2" applyNumberFormat="1" applyFont="1" applyFill="1" applyBorder="1" applyAlignment="1">
      <alignment horizontal="center" wrapText="1"/>
    </xf>
    <xf numFmtId="0" fontId="37" fillId="13" borderId="40" xfId="2" applyFont="1" applyFill="1" applyBorder="1" applyAlignment="1">
      <alignment horizontal="center" wrapText="1"/>
    </xf>
    <xf numFmtId="0" fontId="37" fillId="13" borderId="41" xfId="2" applyFont="1" applyFill="1" applyBorder="1" applyAlignment="1">
      <alignment horizontal="center" wrapText="1"/>
    </xf>
    <xf numFmtId="0" fontId="37" fillId="13" borderId="42" xfId="2" applyFont="1" applyFill="1" applyBorder="1" applyAlignment="1">
      <alignment horizontal="center" wrapText="1"/>
    </xf>
    <xf numFmtId="3" fontId="51" fillId="17" borderId="65" xfId="3" applyNumberFormat="1" applyFont="1" applyFill="1" applyBorder="1" applyAlignment="1">
      <alignment horizontal="center" vertical="center" wrapText="1"/>
    </xf>
    <xf numFmtId="3" fontId="51" fillId="17" borderId="71" xfId="3" applyNumberFormat="1" applyFont="1" applyFill="1" applyBorder="1" applyAlignment="1">
      <alignment horizontal="center" vertical="center" wrapText="1"/>
    </xf>
    <xf numFmtId="0" fontId="60" fillId="0" borderId="89" xfId="7" applyFont="1" applyFill="1" applyBorder="1" applyAlignment="1">
      <alignment horizontal="center" vertical="center"/>
    </xf>
    <xf numFmtId="0" fontId="61" fillId="0" borderId="0" xfId="7" applyFont="1" applyFill="1" applyBorder="1" applyAlignment="1">
      <alignment horizontal="center" vertical="center"/>
    </xf>
    <xf numFmtId="0" fontId="61" fillId="0" borderId="94" xfId="7" applyFont="1" applyFill="1" applyBorder="1" applyAlignment="1">
      <alignment horizontal="center" vertical="center"/>
    </xf>
    <xf numFmtId="0" fontId="61" fillId="0" borderId="95" xfId="7" applyFont="1" applyFill="1" applyBorder="1" applyAlignment="1">
      <alignment horizontal="center" vertical="center"/>
    </xf>
    <xf numFmtId="176" fontId="62" fillId="0" borderId="91" xfId="7" applyNumberFormat="1" applyFont="1" applyFill="1" applyBorder="1" applyAlignment="1">
      <alignment horizontal="center" vertical="center"/>
    </xf>
    <xf numFmtId="176" fontId="56" fillId="0" borderId="81" xfId="7" applyNumberFormat="1" applyFont="1" applyFill="1" applyBorder="1" applyAlignment="1">
      <alignment horizontal="center" vertical="center"/>
    </xf>
    <xf numFmtId="0" fontId="61" fillId="0" borderId="90" xfId="7" applyFont="1" applyFill="1" applyBorder="1" applyAlignment="1">
      <alignment horizontal="center" vertical="center"/>
    </xf>
    <xf numFmtId="0" fontId="61" fillId="0" borderId="81" xfId="7" applyFont="1" applyFill="1" applyBorder="1" applyAlignment="1">
      <alignment horizontal="center" vertical="center"/>
    </xf>
    <xf numFmtId="0" fontId="61" fillId="0" borderId="93" xfId="7" applyFont="1" applyFill="1" applyBorder="1" applyAlignment="1">
      <alignment horizontal="center" vertical="center"/>
    </xf>
    <xf numFmtId="0" fontId="61" fillId="0" borderId="86" xfId="7" applyFont="1" applyFill="1" applyBorder="1" applyAlignment="1">
      <alignment horizontal="center" vertical="center"/>
    </xf>
    <xf numFmtId="3" fontId="51" fillId="17" borderId="65" xfId="3" applyNumberFormat="1" applyFont="1" applyFill="1" applyBorder="1" applyAlignment="1">
      <alignment horizontal="center" vertical="top" wrapText="1"/>
    </xf>
    <xf numFmtId="3" fontId="51" fillId="17" borderId="71" xfId="3" applyNumberFormat="1" applyFont="1" applyFill="1" applyBorder="1" applyAlignment="1">
      <alignment horizontal="center" vertical="top" wrapText="1"/>
    </xf>
    <xf numFmtId="3" fontId="52" fillId="17" borderId="66" xfId="3" applyNumberFormat="1" applyFont="1" applyFill="1" applyBorder="1" applyAlignment="1">
      <alignment horizontal="center" vertical="center" wrapText="1"/>
    </xf>
    <xf numFmtId="3" fontId="52" fillId="17" borderId="73" xfId="3" applyNumberFormat="1" applyFont="1" applyFill="1" applyBorder="1" applyAlignment="1">
      <alignment horizontal="center" vertical="center" wrapText="1"/>
    </xf>
    <xf numFmtId="0" fontId="60" fillId="0" borderId="77" xfId="7" applyFont="1" applyFill="1" applyBorder="1" applyAlignment="1">
      <alignment horizontal="center" vertical="center"/>
    </xf>
    <xf numFmtId="0" fontId="61" fillId="0" borderId="78" xfId="7" applyFont="1" applyFill="1" applyBorder="1" applyAlignment="1">
      <alignment horizontal="center" vertical="center"/>
    </xf>
    <xf numFmtId="0" fontId="61" fillId="0" borderId="56" xfId="7" applyFont="1" applyFill="1" applyBorder="1" applyAlignment="1">
      <alignment horizontal="center" vertical="center"/>
    </xf>
    <xf numFmtId="0" fontId="61" fillId="0" borderId="79" xfId="7" applyFont="1" applyFill="1" applyBorder="1" applyAlignment="1">
      <alignment horizontal="center" vertical="center"/>
    </xf>
    <xf numFmtId="176" fontId="62" fillId="0" borderId="80" xfId="7" applyNumberFormat="1" applyFont="1" applyFill="1" applyBorder="1" applyAlignment="1">
      <alignment horizontal="center" vertical="center"/>
    </xf>
    <xf numFmtId="176" fontId="56" fillId="0" borderId="79" xfId="7" applyNumberFormat="1" applyFont="1" applyFill="1" applyBorder="1" applyAlignment="1">
      <alignment horizontal="center" vertical="center"/>
    </xf>
    <xf numFmtId="3" fontId="51" fillId="17" borderId="58" xfId="3" applyNumberFormat="1" applyFont="1" applyFill="1" applyBorder="1" applyAlignment="1">
      <alignment horizontal="center" vertical="center" wrapText="1"/>
    </xf>
    <xf numFmtId="3" fontId="51" fillId="17" borderId="59" xfId="3" applyNumberFormat="1" applyFont="1" applyFill="1" applyBorder="1" applyAlignment="1">
      <alignment horizontal="center" vertical="center" wrapText="1"/>
    </xf>
    <xf numFmtId="3" fontId="51" fillId="17" borderId="57" xfId="3" applyNumberFormat="1" applyFont="1" applyFill="1" applyBorder="1" applyAlignment="1">
      <alignment horizontal="center" vertical="center" wrapText="1"/>
    </xf>
    <xf numFmtId="3" fontId="51" fillId="17" borderId="67" xfId="3" applyNumberFormat="1" applyFont="1" applyFill="1" applyBorder="1" applyAlignment="1">
      <alignment horizontal="center" vertical="center" wrapText="1"/>
    </xf>
    <xf numFmtId="3" fontId="51" fillId="17" borderId="73" xfId="3" applyNumberFormat="1" applyFont="1" applyFill="1" applyBorder="1" applyAlignment="1">
      <alignment horizontal="center" vertical="center" wrapText="1"/>
    </xf>
    <xf numFmtId="3" fontId="51" fillId="17" borderId="60" xfId="3" applyNumberFormat="1" applyFont="1" applyFill="1" applyBorder="1" applyAlignment="1">
      <alignment horizontal="center" vertical="center" wrapText="1"/>
    </xf>
    <xf numFmtId="3" fontId="51" fillId="17" borderId="68" xfId="3" applyNumberFormat="1" applyFont="1" applyFill="1" applyBorder="1" applyAlignment="1">
      <alignment horizontal="center" vertical="center" wrapText="1"/>
    </xf>
    <xf numFmtId="3" fontId="51" fillId="17" borderId="74" xfId="3" applyNumberFormat="1" applyFont="1" applyFill="1" applyBorder="1" applyAlignment="1">
      <alignment horizontal="center" vertical="center" wrapText="1"/>
    </xf>
    <xf numFmtId="0" fontId="56" fillId="18" borderId="61" xfId="7" applyFont="1" applyFill="1" applyBorder="1" applyAlignment="1">
      <alignment horizontal="center" vertical="center" wrapText="1"/>
    </xf>
    <xf numFmtId="0" fontId="56" fillId="18" borderId="69" xfId="7" applyFont="1" applyFill="1" applyBorder="1" applyAlignment="1">
      <alignment horizontal="center" vertical="center" wrapText="1"/>
    </xf>
    <xf numFmtId="0" fontId="56" fillId="18" borderId="75" xfId="7" applyFont="1" applyFill="1" applyBorder="1" applyAlignment="1">
      <alignment horizontal="center" vertical="center" wrapText="1"/>
    </xf>
    <xf numFmtId="3" fontId="55" fillId="17" borderId="55" xfId="3" applyNumberFormat="1" applyFont="1" applyFill="1" applyBorder="1" applyAlignment="1">
      <alignment horizontal="center" vertical="center" wrapText="1"/>
    </xf>
    <xf numFmtId="3" fontId="55" fillId="17" borderId="63" xfId="3" applyNumberFormat="1" applyFont="1" applyFill="1" applyBorder="1" applyAlignment="1">
      <alignment horizontal="center" vertical="center" wrapText="1"/>
    </xf>
    <xf numFmtId="3" fontId="55" fillId="17" borderId="71" xfId="3" applyNumberFormat="1" applyFont="1" applyFill="1" applyBorder="1" applyAlignment="1">
      <alignment horizontal="center" vertical="center" wrapText="1"/>
    </xf>
    <xf numFmtId="3" fontId="51" fillId="17" borderId="66" xfId="3" applyNumberFormat="1" applyFont="1" applyFill="1" applyBorder="1" applyAlignment="1">
      <alignment horizontal="center" vertical="center" wrapText="1"/>
    </xf>
    <xf numFmtId="3" fontId="51" fillId="17" borderId="55" xfId="3" applyNumberFormat="1" applyFont="1" applyFill="1" applyBorder="1" applyAlignment="1">
      <alignment horizontal="center" vertical="center" wrapText="1"/>
    </xf>
    <xf numFmtId="3" fontId="51" fillId="17" borderId="63" xfId="3" applyNumberFormat="1" applyFont="1" applyFill="1" applyBorder="1" applyAlignment="1">
      <alignment horizontal="center" vertical="center" wrapText="1"/>
    </xf>
    <xf numFmtId="3" fontId="51" fillId="17" borderId="56" xfId="3" applyNumberFormat="1" applyFont="1" applyFill="1" applyBorder="1" applyAlignment="1">
      <alignment horizontal="center" vertical="center" wrapText="1"/>
    </xf>
    <xf numFmtId="0" fontId="45" fillId="16" borderId="0" xfId="7" applyFont="1" applyFill="1" applyAlignment="1">
      <alignment horizontal="center"/>
    </xf>
    <xf numFmtId="0" fontId="49" fillId="16" borderId="53" xfId="7" applyFont="1" applyFill="1" applyBorder="1" applyAlignment="1">
      <alignment horizontal="center" vertical="top"/>
    </xf>
    <xf numFmtId="175" fontId="51" fillId="17" borderId="54" xfId="6" applyNumberFormat="1" applyFont="1" applyFill="1" applyBorder="1" applyAlignment="1">
      <alignment horizontal="center" vertical="center"/>
    </xf>
    <xf numFmtId="175" fontId="51" fillId="17" borderId="62" xfId="6" applyNumberFormat="1" applyFont="1" applyFill="1" applyBorder="1" applyAlignment="1">
      <alignment horizontal="center" vertical="center"/>
    </xf>
    <xf numFmtId="175" fontId="51" fillId="17" borderId="70" xfId="6" applyNumberFormat="1" applyFont="1" applyFill="1" applyBorder="1" applyAlignment="1">
      <alignment horizontal="center" vertical="center"/>
    </xf>
    <xf numFmtId="175" fontId="51" fillId="17" borderId="55" xfId="6" applyNumberFormat="1" applyFont="1" applyFill="1" applyBorder="1" applyAlignment="1">
      <alignment horizontal="center" vertical="center" wrapText="1"/>
    </xf>
    <xf numFmtId="175" fontId="51" fillId="17" borderId="63" xfId="6" applyNumberFormat="1" applyFont="1" applyFill="1" applyBorder="1" applyAlignment="1">
      <alignment horizontal="center" vertical="center" wrapText="1"/>
    </xf>
    <xf numFmtId="175" fontId="51" fillId="17" borderId="71" xfId="6" applyNumberFormat="1" applyFont="1" applyFill="1" applyBorder="1" applyAlignment="1">
      <alignment horizontal="center" vertical="center" wrapText="1"/>
    </xf>
    <xf numFmtId="0" fontId="51" fillId="17" borderId="55" xfId="6" applyFont="1" applyFill="1" applyBorder="1" applyAlignment="1">
      <alignment horizontal="center" vertical="center"/>
    </xf>
    <xf numFmtId="0" fontId="51" fillId="17" borderId="63" xfId="6" applyFont="1" applyFill="1" applyBorder="1" applyAlignment="1">
      <alignment horizontal="center" vertical="center"/>
    </xf>
    <xf numFmtId="0" fontId="51" fillId="17" borderId="71" xfId="6" applyFont="1" applyFill="1" applyBorder="1" applyAlignment="1">
      <alignment horizontal="center" vertical="center"/>
    </xf>
    <xf numFmtId="0" fontId="51" fillId="17" borderId="55" xfId="6" applyFont="1" applyFill="1" applyBorder="1" applyAlignment="1">
      <alignment horizontal="center" vertical="center" wrapText="1"/>
    </xf>
    <xf numFmtId="0" fontId="51" fillId="17" borderId="63" xfId="6" applyFont="1" applyFill="1" applyBorder="1" applyAlignment="1">
      <alignment horizontal="center" vertical="center" wrapText="1"/>
    </xf>
    <xf numFmtId="0" fontId="51" fillId="17" borderId="71" xfId="6" applyFont="1" applyFill="1" applyBorder="1" applyAlignment="1">
      <alignment horizontal="center" vertical="center" wrapText="1"/>
    </xf>
    <xf numFmtId="3" fontId="53" fillId="17" borderId="55" xfId="3" applyNumberFormat="1" applyFont="1" applyFill="1" applyBorder="1" applyAlignment="1">
      <alignment horizontal="center" vertical="center" wrapText="1"/>
    </xf>
    <xf numFmtId="3" fontId="53" fillId="17" borderId="63" xfId="3" applyNumberFormat="1" applyFont="1" applyFill="1" applyBorder="1" applyAlignment="1">
      <alignment horizontal="center" vertical="center" wrapText="1"/>
    </xf>
    <xf numFmtId="3" fontId="53" fillId="17" borderId="71" xfId="3" applyNumberFormat="1" applyFont="1" applyFill="1" applyBorder="1" applyAlignment="1">
      <alignment horizontal="center" vertical="center" wrapText="1"/>
    </xf>
    <xf numFmtId="3" fontId="54" fillId="17" borderId="56" xfId="3" applyNumberFormat="1" applyFont="1" applyFill="1" applyBorder="1" applyAlignment="1">
      <alignment horizontal="center" vertical="center" wrapText="1"/>
    </xf>
    <xf numFmtId="169" fontId="18" fillId="0" borderId="28" xfId="0" applyNumberFormat="1" applyFont="1" applyBorder="1" applyAlignment="1" applyProtection="1">
      <alignment horizontal="center" vertical="center"/>
      <protection hidden="1"/>
    </xf>
    <xf numFmtId="169" fontId="18" fillId="0" borderId="29" xfId="0" applyNumberFormat="1" applyFont="1" applyBorder="1" applyAlignment="1" applyProtection="1">
      <alignment horizontal="center" vertical="center"/>
      <protection hidden="1"/>
    </xf>
    <xf numFmtId="169" fontId="18" fillId="0" borderId="25" xfId="0" applyNumberFormat="1" applyFont="1" applyBorder="1" applyAlignment="1" applyProtection="1">
      <alignment horizontal="center" vertical="center"/>
      <protection hidden="1"/>
    </xf>
    <xf numFmtId="169" fontId="18" fillId="0" borderId="26" xfId="0" applyNumberFormat="1" applyFont="1" applyBorder="1" applyAlignment="1" applyProtection="1">
      <alignment horizontal="center" vertical="center"/>
      <protection hidden="1"/>
    </xf>
    <xf numFmtId="169" fontId="18" fillId="0" borderId="30" xfId="0" applyNumberFormat="1" applyFont="1" applyBorder="1" applyAlignment="1" applyProtection="1">
      <alignment horizontal="center" vertical="center"/>
      <protection hidden="1"/>
    </xf>
    <xf numFmtId="0" fontId="0" fillId="0" borderId="31" xfId="0" applyBorder="1"/>
    <xf numFmtId="0" fontId="0" fillId="0" borderId="25" xfId="0" applyBorder="1"/>
    <xf numFmtId="0" fontId="0" fillId="0" borderId="26" xfId="0" applyBorder="1"/>
    <xf numFmtId="169" fontId="18" fillId="0" borderId="23" xfId="0" applyNumberFormat="1" applyFont="1" applyBorder="1" applyAlignment="1" applyProtection="1">
      <alignment horizontal="center" vertical="center"/>
      <protection hidden="1"/>
    </xf>
    <xf numFmtId="169" fontId="18" fillId="0" borderId="24" xfId="0" applyNumberFormat="1" applyFont="1" applyBorder="1" applyAlignment="1" applyProtection="1">
      <alignment horizontal="center" vertical="center"/>
      <protection hidden="1"/>
    </xf>
    <xf numFmtId="0" fontId="17" fillId="10" borderId="17" xfId="0" applyFont="1" applyFill="1" applyBorder="1" applyAlignment="1" applyProtection="1">
      <alignment horizontal="center" vertical="center"/>
      <protection hidden="1"/>
    </xf>
    <xf numFmtId="0" fontId="17" fillId="10" borderId="18" xfId="0" applyFont="1" applyFill="1" applyBorder="1" applyAlignment="1" applyProtection="1">
      <alignment horizontal="center" vertical="center"/>
      <protection hidden="1"/>
    </xf>
    <xf numFmtId="0" fontId="17" fillId="10" borderId="19" xfId="0" applyFont="1" applyFill="1" applyBorder="1" applyAlignment="1" applyProtection="1">
      <alignment horizontal="center" vertical="center"/>
      <protection hidden="1"/>
    </xf>
    <xf numFmtId="0" fontId="17" fillId="10" borderId="20" xfId="0" applyFont="1" applyFill="1" applyBorder="1" applyAlignment="1" applyProtection="1">
      <alignment horizontal="center" vertical="center"/>
      <protection hidden="1"/>
    </xf>
    <xf numFmtId="0" fontId="17" fillId="10" borderId="21" xfId="0" applyFont="1" applyFill="1" applyBorder="1" applyAlignment="1" applyProtection="1">
      <alignment horizontal="center" vertical="center"/>
      <protection hidden="1"/>
    </xf>
    <xf numFmtId="0" fontId="17" fillId="10" borderId="22" xfId="0" applyFont="1" applyFill="1" applyBorder="1" applyAlignment="1" applyProtection="1">
      <alignment horizontal="center" vertical="center"/>
      <protection hidden="1"/>
    </xf>
    <xf numFmtId="14" fontId="6" fillId="0" borderId="0" xfId="1" applyNumberFormat="1" applyFont="1" applyAlignment="1">
      <alignment horizontal="left" vertical="center" wrapText="1"/>
    </xf>
    <xf numFmtId="0" fontId="6" fillId="0" borderId="0" xfId="1" applyFont="1" applyBorder="1" applyAlignment="1">
      <alignment horizontal="left" vertical="center" wrapText="1"/>
    </xf>
    <xf numFmtId="0" fontId="6" fillId="0" borderId="5" xfId="1" applyFont="1" applyBorder="1" applyAlignment="1">
      <alignment horizontal="left" vertical="center" wrapText="1"/>
    </xf>
    <xf numFmtId="166" fontId="7" fillId="4" borderId="27" xfId="1" applyNumberFormat="1" applyFont="1" applyFill="1" applyBorder="1" applyAlignment="1">
      <alignment horizontal="center" vertical="center"/>
    </xf>
    <xf numFmtId="166" fontId="7" fillId="4" borderId="0" xfId="1" applyNumberFormat="1" applyFont="1" applyFill="1" applyBorder="1" applyAlignment="1">
      <alignment horizontal="center" vertical="center"/>
    </xf>
    <xf numFmtId="165" fontId="10" fillId="4" borderId="13" xfId="1" applyNumberFormat="1" applyFont="1" applyFill="1" applyBorder="1" applyAlignment="1">
      <alignment horizontal="center" vertical="center"/>
    </xf>
    <xf numFmtId="165" fontId="10" fillId="4" borderId="5" xfId="1" applyNumberFormat="1" applyFont="1" applyFill="1" applyBorder="1" applyAlignment="1">
      <alignment horizontal="center" vertical="center"/>
    </xf>
    <xf numFmtId="165" fontId="10" fillId="4" borderId="15" xfId="1" applyNumberFormat="1" applyFont="1" applyFill="1" applyBorder="1" applyAlignment="1">
      <alignment horizontal="center" vertical="center"/>
    </xf>
    <xf numFmtId="165" fontId="10" fillId="4" borderId="14" xfId="1" applyNumberFormat="1" applyFont="1" applyFill="1" applyBorder="1" applyAlignment="1">
      <alignment horizontal="center" vertical="center"/>
    </xf>
    <xf numFmtId="166" fontId="7" fillId="4" borderId="7" xfId="1" applyNumberFormat="1" applyFont="1" applyFill="1" applyBorder="1" applyAlignment="1">
      <alignment horizontal="center" vertical="center"/>
    </xf>
    <xf numFmtId="166" fontId="7" fillId="4" borderId="12" xfId="1" applyNumberFormat="1" applyFont="1" applyFill="1" applyBorder="1" applyAlignment="1">
      <alignment horizontal="center" vertical="center"/>
    </xf>
    <xf numFmtId="166" fontId="7" fillId="4" borderId="16" xfId="1" applyNumberFormat="1" applyFont="1" applyFill="1" applyBorder="1" applyAlignment="1">
      <alignment horizontal="center" vertical="center"/>
    </xf>
  </cellXfs>
  <cellStyles count="11">
    <cellStyle name="Comma 2 4" xfId="3"/>
    <cellStyle name="Comma 2 4 2" xfId="9"/>
    <cellStyle name="Currency 2" xfId="4"/>
    <cellStyle name="Normal" xfId="0" builtinId="0"/>
    <cellStyle name="Normal 2" xfId="1"/>
    <cellStyle name="Normal 2 2" xfId="5"/>
    <cellStyle name="Normal 2 3" xfId="6"/>
    <cellStyle name="Normal 2 4" xfId="7"/>
    <cellStyle name="Normal 3" xfId="2"/>
    <cellStyle name="Normal 3 2" xfId="8"/>
    <cellStyle name="Normal 4" xfId="10"/>
  </cellStyles>
  <dxfs count="26">
    <dxf>
      <fill>
        <gradientFill degree="90">
          <stop position="0">
            <color rgb="FFEAF0F6"/>
          </stop>
          <stop position="1">
            <color rgb="FFEAF0F6"/>
          </stop>
        </gradientFill>
      </fill>
    </dxf>
    <dxf>
      <fill>
        <gradientFill degree="90">
          <stop position="0">
            <color rgb="FFEAF0F6"/>
          </stop>
          <stop position="1">
            <color rgb="FFEAF0F6"/>
          </stop>
        </gradientFill>
      </fill>
    </dxf>
    <dxf>
      <fill>
        <gradientFill degree="90">
          <stop position="0">
            <color rgb="FFEAF0F6"/>
          </stop>
          <stop position="1">
            <color rgb="FFEAF0F6"/>
          </stop>
        </gradientFill>
      </fill>
    </dxf>
    <dxf>
      <fill>
        <gradientFill degree="90">
          <stop position="0">
            <color rgb="FFEAF0F6"/>
          </stop>
          <stop position="1">
            <color rgb="FFEAF0F6"/>
          </stop>
        </gradientFill>
      </fill>
    </dxf>
    <dxf>
      <fill>
        <gradientFill degree="90">
          <stop position="0">
            <color rgb="FFEAF0F6"/>
          </stop>
          <stop position="1">
            <color rgb="FFEAF0F6"/>
          </stop>
        </gradientFill>
      </fill>
    </dxf>
    <dxf>
      <fill>
        <gradientFill degree="90">
          <stop position="0">
            <color rgb="FFEAF0F6"/>
          </stop>
          <stop position="1">
            <color rgb="FFEAF0F6"/>
          </stop>
        </gradientFill>
      </fill>
    </dxf>
    <dxf>
      <fill>
        <gradientFill degree="90">
          <stop position="0">
            <color rgb="FFEAF0F6"/>
          </stop>
          <stop position="1">
            <color rgb="FFEAF0F6"/>
          </stop>
        </gradientFill>
      </fill>
    </dxf>
    <dxf>
      <font>
        <b val="0"/>
        <i/>
      </font>
      <fill>
        <patternFill>
          <bgColor theme="8" tint="0.79992065187536243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</border>
    </dxf>
    <dxf>
      <font>
        <b/>
        <i val="0"/>
        <color theme="6" tint="-0.499984740745262"/>
      </font>
      <fill>
        <patternFill>
          <bgColor theme="6" tint="0.39988402966399123"/>
        </patternFill>
      </fill>
      <border>
        <left style="thin">
          <color theme="6" tint="-0.499984740745262"/>
        </left>
        <right style="thin">
          <color theme="6" tint="-0.499984740745262"/>
        </right>
        <top style="thin">
          <color theme="6" tint="-0.499984740745262"/>
        </top>
        <bottom style="thin">
          <color theme="6" tint="-0.499984740745262"/>
        </bottom>
        <vertical/>
        <horizontal/>
      </border>
    </dxf>
    <dxf>
      <fill>
        <patternFill>
          <bgColor theme="6" tint="0.79992065187536243"/>
        </patternFill>
      </fill>
      <border>
        <left style="thin">
          <color theme="6" tint="-0.24994659260841701"/>
        </left>
        <right style="thin">
          <color theme="6" tint="-0.24994659260841701"/>
        </right>
        <top style="thin">
          <color theme="6" tint="-0.24994659260841701"/>
        </top>
        <bottom style="thin">
          <color theme="6" tint="-0.24994659260841701"/>
        </bottom>
      </border>
    </dxf>
    <dxf>
      <font>
        <b/>
        <i val="0"/>
        <color theme="8" tint="-0.499984740745262"/>
      </font>
      <fill>
        <patternFill>
          <bgColor theme="8" tint="0.39988402966399123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/>
        <horizontal/>
      </border>
    </dxf>
    <dxf>
      <fill>
        <patternFill patternType="gray0625">
          <fgColor auto="1"/>
          <bgColor theme="0" tint="-0.14978484450819421"/>
        </patternFill>
      </fill>
    </dxf>
    <dxf>
      <font>
        <color rgb="FF0070C0"/>
      </font>
    </dxf>
    <dxf>
      <font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theme="8" tint="0.79995117038483843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</border>
    </dxf>
    <dxf>
      <font>
        <b/>
        <i val="0"/>
        <color theme="6" tint="-0.499984740745262"/>
      </font>
      <fill>
        <patternFill>
          <bgColor theme="6" tint="0.39991454817346722"/>
        </patternFill>
      </fill>
      <border>
        <left style="thin">
          <color theme="6" tint="-0.499984740745262"/>
        </left>
        <right style="thin">
          <color theme="6" tint="-0.499984740745262"/>
        </right>
        <top style="thin">
          <color theme="6" tint="-0.499984740745262"/>
        </top>
        <bottom style="thin">
          <color theme="6" tint="-0.499984740745262"/>
        </bottom>
        <vertical/>
        <horizontal/>
      </border>
    </dxf>
    <dxf>
      <fill>
        <patternFill>
          <bgColor theme="6" tint="0.79995117038483843"/>
        </patternFill>
      </fill>
      <border>
        <left style="thin">
          <color theme="6" tint="-0.24994659260841701"/>
        </left>
        <right style="thin">
          <color theme="6" tint="-0.24994659260841701"/>
        </right>
        <top style="thin">
          <color theme="6" tint="-0.24994659260841701"/>
        </top>
        <bottom style="thin">
          <color theme="6" tint="-0.24994659260841701"/>
        </bottom>
      </border>
    </dxf>
    <dxf>
      <fill>
        <gradientFill degree="90">
          <stop position="0">
            <color rgb="FFEAF0F6"/>
          </stop>
          <stop position="1">
            <color rgb="FFEAF0F6"/>
          </stop>
        </gradientFill>
      </fill>
    </dxf>
    <dxf>
      <font>
        <b/>
        <i val="0"/>
        <color theme="8" tint="-0.499984740745262"/>
      </font>
      <fill>
        <patternFill>
          <bgColor theme="8" tint="0.39991454817346722"/>
        </patternFill>
      </fill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  <vertical/>
        <horizontal/>
      </border>
    </dxf>
    <dxf>
      <fill>
        <patternFill patternType="gray0625">
          <fgColor auto="1"/>
          <bgColor theme="0" tint="-0.14981536301767021"/>
        </patternFill>
      </fill>
    </dxf>
    <dxf>
      <font>
        <color rgb="FF0070C0"/>
      </font>
    </dxf>
    <dxf>
      <font>
        <color rgb="FFFF0000"/>
      </font>
      <fill>
        <patternFill>
          <bgColor rgb="FFFFFF00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D8D8D8"/>
          <bgColor rgb="FFD8D8D8"/>
        </patternFill>
      </fill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istrator\Downloads\Disclaimer-Smartsheet-Templates_Solution1-Tab5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tenance Work Order"/>
      <sheetName val="BLANK - Maintenance Work Order "/>
      <sheetName val="- Disclaimer -"/>
    </sheetNames>
    <sheetDataSet>
      <sheetData sheetId="0"/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3"/>
  <sheetViews>
    <sheetView workbookViewId="0">
      <selection activeCell="F22" sqref="F22"/>
    </sheetView>
  </sheetViews>
  <sheetFormatPr defaultRowHeight="15"/>
  <cols>
    <col min="1" max="1" width="10.85546875" customWidth="1"/>
    <col min="2" max="2" width="22.5703125" style="2" customWidth="1"/>
    <col min="3" max="3" width="8.85546875" customWidth="1"/>
    <col min="4" max="4" width="16.5703125" customWidth="1"/>
  </cols>
  <sheetData>
    <row r="1" spans="1:10" ht="27" customHeight="1">
      <c r="A1" s="1" t="s">
        <v>1</v>
      </c>
      <c r="B1" s="1" t="s">
        <v>2</v>
      </c>
      <c r="C1" s="1" t="s">
        <v>0</v>
      </c>
      <c r="D1" s="1" t="s">
        <v>3</v>
      </c>
      <c r="F1">
        <v>22421</v>
      </c>
    </row>
    <row r="2" spans="1:10">
      <c r="A2">
        <v>20452</v>
      </c>
      <c r="B2" s="2">
        <v>44309.458819444444</v>
      </c>
      <c r="C2">
        <v>0</v>
      </c>
      <c r="D2">
        <v>1</v>
      </c>
    </row>
    <row r="3" spans="1:10">
      <c r="A3">
        <v>20452</v>
      </c>
      <c r="B3" s="2">
        <v>44309.458854166667</v>
      </c>
      <c r="C3">
        <v>0</v>
      </c>
      <c r="D3">
        <v>1</v>
      </c>
      <c r="I3" t="s">
        <v>4</v>
      </c>
    </row>
    <row r="4" spans="1:10">
      <c r="A4">
        <v>22410</v>
      </c>
      <c r="B4" s="2">
        <v>44309.45888888889</v>
      </c>
      <c r="C4">
        <v>0</v>
      </c>
      <c r="D4">
        <v>1</v>
      </c>
    </row>
    <row r="5" spans="1:10">
      <c r="A5">
        <v>21495</v>
      </c>
      <c r="B5" s="2">
        <v>44309.56391203704</v>
      </c>
      <c r="C5">
        <v>0</v>
      </c>
      <c r="D5">
        <v>1</v>
      </c>
    </row>
    <row r="6" spans="1:10">
      <c r="A6">
        <v>21495</v>
      </c>
      <c r="B6" s="2">
        <v>44309.563935185186</v>
      </c>
      <c r="C6">
        <v>0</v>
      </c>
      <c r="D6">
        <v>1</v>
      </c>
    </row>
    <row r="7" spans="1:10">
      <c r="A7">
        <v>5533</v>
      </c>
      <c r="B7" s="2">
        <v>44309.604444444441</v>
      </c>
      <c r="C7">
        <v>0</v>
      </c>
      <c r="D7">
        <v>1</v>
      </c>
    </row>
    <row r="8" spans="1:10">
      <c r="A8">
        <v>5533</v>
      </c>
      <c r="B8" s="2">
        <v>44309.604479166665</v>
      </c>
      <c r="C8">
        <v>0</v>
      </c>
      <c r="D8">
        <v>1</v>
      </c>
    </row>
    <row r="9" spans="1:10">
      <c r="A9">
        <v>22421</v>
      </c>
      <c r="B9" s="2">
        <v>44309.604537037034</v>
      </c>
      <c r="C9">
        <v>0</v>
      </c>
      <c r="D9">
        <v>1</v>
      </c>
    </row>
    <row r="10" spans="1:10">
      <c r="A10">
        <v>7082</v>
      </c>
      <c r="B10" s="2">
        <v>44309.604560185187</v>
      </c>
      <c r="C10">
        <v>0</v>
      </c>
      <c r="D10">
        <v>1</v>
      </c>
    </row>
    <row r="11" spans="1:10">
      <c r="A11">
        <v>7082</v>
      </c>
      <c r="B11" s="2">
        <v>44309.604583333334</v>
      </c>
      <c r="C11">
        <v>0</v>
      </c>
      <c r="D11">
        <v>1</v>
      </c>
    </row>
    <row r="13" spans="1:10">
      <c r="J13" t="s">
        <v>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BV9"/>
  <sheetViews>
    <sheetView showGridLines="0" tabSelected="1" workbookViewId="0">
      <pane xSplit="5" ySplit="7" topLeftCell="F8" activePane="bottomRight" state="frozen"/>
      <selection pane="topRight" activeCell="F1" sqref="F1"/>
      <selection pane="bottomLeft" activeCell="A8" sqref="A8"/>
      <selection pane="bottomRight" activeCell="J12" sqref="J12"/>
    </sheetView>
  </sheetViews>
  <sheetFormatPr defaultColWidth="12.5703125" defaultRowHeight="15" customHeight="1"/>
  <cols>
    <col min="1" max="1" width="8" style="44" customWidth="1"/>
    <col min="2" max="2" width="17" style="44" customWidth="1"/>
    <col min="3" max="3" width="11" style="44" customWidth="1"/>
    <col min="4" max="4" width="17.140625" style="44" customWidth="1"/>
    <col min="5" max="5" width="19.7109375" style="44" customWidth="1"/>
    <col min="6" max="67" width="5.42578125" style="44" customWidth="1"/>
    <col min="68" max="68" width="7.42578125" style="44" customWidth="1"/>
    <col min="69" max="71" width="7" style="44" customWidth="1"/>
    <col min="72" max="72" width="9" style="44" customWidth="1"/>
    <col min="73" max="73" width="6.5703125" style="44" customWidth="1"/>
    <col min="74" max="74" width="6.28515625" style="44" customWidth="1"/>
    <col min="75" max="16384" width="12.5703125" style="44"/>
  </cols>
  <sheetData>
    <row r="1" spans="1:74" ht="15" customHeight="1">
      <c r="A1" s="43"/>
      <c r="C1" s="45"/>
      <c r="D1" s="46">
        <v>0.33333333333333331</v>
      </c>
      <c r="E1" s="46">
        <v>0.70833333333333337</v>
      </c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8" t="s">
        <v>30</v>
      </c>
      <c r="V1" s="48"/>
      <c r="W1" s="48"/>
      <c r="X1" s="48"/>
      <c r="Y1" s="49" t="s">
        <v>31</v>
      </c>
      <c r="Z1" s="50"/>
      <c r="AA1" s="50"/>
      <c r="AB1" s="50"/>
      <c r="AC1" s="50"/>
      <c r="AD1" s="51" t="s">
        <v>32</v>
      </c>
      <c r="AE1" s="50"/>
      <c r="AF1" s="50" t="s">
        <v>33</v>
      </c>
      <c r="AG1" s="50"/>
      <c r="AH1" s="50"/>
      <c r="AI1" s="50"/>
      <c r="AJ1" s="51" t="s">
        <v>34</v>
      </c>
      <c r="AK1" s="50"/>
      <c r="AL1" s="50"/>
      <c r="AM1" s="50" t="s">
        <v>35</v>
      </c>
      <c r="AN1" s="52" t="s">
        <v>36</v>
      </c>
      <c r="AO1" s="53"/>
      <c r="AP1" s="53"/>
      <c r="AQ1" s="53"/>
      <c r="AR1" s="53"/>
      <c r="AU1" s="47"/>
      <c r="AV1" s="47"/>
      <c r="AW1" s="47"/>
      <c r="AX1" s="47"/>
      <c r="AY1" s="47"/>
      <c r="AZ1" s="47"/>
      <c r="BA1" s="47"/>
      <c r="BB1" s="47"/>
      <c r="BC1" s="47"/>
      <c r="BD1" s="47"/>
      <c r="BE1" s="47"/>
      <c r="BF1" s="47"/>
      <c r="BG1" s="47"/>
      <c r="BH1" s="47"/>
      <c r="BI1" s="47"/>
      <c r="BJ1" s="47"/>
      <c r="BK1" s="47"/>
      <c r="BL1" s="47"/>
      <c r="BM1" s="47"/>
      <c r="BN1" s="47"/>
      <c r="BO1" s="47"/>
      <c r="BP1" s="47"/>
      <c r="BQ1" s="47"/>
      <c r="BR1" s="47"/>
      <c r="BS1" s="47"/>
      <c r="BT1" s="54"/>
      <c r="BU1" s="55"/>
      <c r="BV1" s="55"/>
    </row>
    <row r="2" spans="1:74" ht="15.75" customHeight="1">
      <c r="C2" s="45"/>
      <c r="D2" s="56" t="s">
        <v>37</v>
      </c>
      <c r="E2" s="57">
        <f>BO5-COUNTIF(F6:BO6,"Chủ nhật")/2</f>
        <v>0</v>
      </c>
      <c r="F2" s="58" t="s">
        <v>38</v>
      </c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9"/>
      <c r="V2" s="59"/>
      <c r="W2" s="59"/>
      <c r="X2" s="59"/>
      <c r="Y2" s="49" t="s">
        <v>39</v>
      </c>
      <c r="Z2" s="50"/>
      <c r="AA2" s="50"/>
      <c r="AB2" s="50"/>
      <c r="AC2" s="50"/>
      <c r="AD2" s="51" t="s">
        <v>40</v>
      </c>
      <c r="AE2" s="50"/>
      <c r="AF2" s="50" t="s">
        <v>41</v>
      </c>
      <c r="AG2" s="50"/>
      <c r="AH2" s="50"/>
      <c r="AI2" s="50"/>
      <c r="AJ2" s="51" t="s">
        <v>42</v>
      </c>
      <c r="AK2" s="50"/>
      <c r="AL2" s="50"/>
      <c r="AM2" s="50"/>
      <c r="AN2" s="59"/>
      <c r="AO2" s="53"/>
      <c r="AP2" s="53"/>
      <c r="AQ2" s="53"/>
      <c r="AR2" s="53"/>
      <c r="AU2" s="58"/>
      <c r="AV2" s="58"/>
      <c r="AW2" s="58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47"/>
      <c r="BQ2" s="47"/>
      <c r="BR2" s="47"/>
      <c r="BS2" s="47"/>
      <c r="BT2" s="54"/>
      <c r="BU2" s="55"/>
      <c r="BV2" s="55"/>
    </row>
    <row r="3" spans="1:74" ht="27.75" customHeight="1">
      <c r="C3" s="45"/>
      <c r="D3" s="60" t="s">
        <v>43</v>
      </c>
      <c r="E3" s="61">
        <v>12</v>
      </c>
      <c r="F3" s="205" t="str">
        <f>"Tháng "&amp;E3&amp;" năm "&amp;E4</f>
        <v>Tháng 12 năm 2022</v>
      </c>
      <c r="G3" s="206"/>
      <c r="H3" s="206"/>
      <c r="I3" s="206"/>
      <c r="J3" s="206"/>
      <c r="K3" s="206"/>
      <c r="L3" s="206"/>
      <c r="M3" s="206"/>
      <c r="N3" s="206"/>
      <c r="O3" s="206"/>
      <c r="P3" s="206"/>
      <c r="Q3" s="206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  <c r="AD3" s="206"/>
      <c r="AE3" s="206"/>
      <c r="AF3" s="206"/>
      <c r="AG3" s="206"/>
      <c r="AH3" s="206"/>
      <c r="AI3" s="206"/>
      <c r="AJ3" s="206"/>
      <c r="AK3" s="206"/>
      <c r="AL3" s="206"/>
      <c r="AM3" s="206"/>
      <c r="AN3" s="206"/>
      <c r="AO3" s="206"/>
      <c r="AP3" s="206"/>
      <c r="AQ3" s="206"/>
      <c r="AR3" s="206"/>
      <c r="AS3" s="206"/>
      <c r="AT3" s="206"/>
      <c r="AU3" s="206"/>
      <c r="AV3" s="206"/>
      <c r="AW3" s="206"/>
      <c r="AX3" s="206"/>
      <c r="AY3" s="206"/>
      <c r="AZ3" s="206"/>
      <c r="BA3" s="206"/>
      <c r="BB3" s="206"/>
      <c r="BC3" s="206"/>
      <c r="BD3" s="206"/>
      <c r="BE3" s="206"/>
      <c r="BF3" s="206"/>
      <c r="BG3" s="206"/>
      <c r="BH3" s="206"/>
      <c r="BI3" s="206"/>
      <c r="BJ3" s="206"/>
      <c r="BK3" s="206"/>
      <c r="BL3" s="206"/>
      <c r="BM3" s="206"/>
      <c r="BN3" s="206"/>
      <c r="BO3" s="206"/>
      <c r="BP3" s="62"/>
      <c r="BQ3" s="62"/>
      <c r="BR3" s="62"/>
      <c r="BS3" s="62"/>
      <c r="BT3" s="54"/>
      <c r="BU3" s="55"/>
      <c r="BV3" s="55"/>
    </row>
    <row r="4" spans="1:74" ht="27.75" customHeight="1">
      <c r="A4" s="45"/>
      <c r="B4" s="45"/>
      <c r="C4" s="45"/>
      <c r="D4" s="60" t="s">
        <v>44</v>
      </c>
      <c r="E4" s="63">
        <v>2022</v>
      </c>
      <c r="F4" s="207" t="s">
        <v>45</v>
      </c>
      <c r="G4" s="208"/>
      <c r="H4" s="208"/>
      <c r="I4" s="208"/>
      <c r="J4" s="208"/>
      <c r="K4" s="208"/>
      <c r="L4" s="208"/>
      <c r="M4" s="208"/>
      <c r="N4" s="208"/>
      <c r="O4" s="208"/>
      <c r="P4" s="208"/>
      <c r="Q4" s="208"/>
      <c r="R4" s="208"/>
      <c r="S4" s="208"/>
      <c r="T4" s="208"/>
      <c r="U4" s="208"/>
      <c r="V4" s="208"/>
      <c r="W4" s="208"/>
      <c r="X4" s="208"/>
      <c r="Y4" s="208"/>
      <c r="Z4" s="208"/>
      <c r="AA4" s="208"/>
      <c r="AB4" s="208"/>
      <c r="AC4" s="208"/>
      <c r="AD4" s="208"/>
      <c r="AE4" s="208"/>
      <c r="AF4" s="208"/>
      <c r="AG4" s="208"/>
      <c r="AH4" s="208"/>
      <c r="AI4" s="208"/>
      <c r="AJ4" s="208"/>
      <c r="AK4" s="208"/>
      <c r="AL4" s="208"/>
      <c r="AM4" s="208"/>
      <c r="AN4" s="208"/>
      <c r="AO4" s="208"/>
      <c r="AP4" s="208"/>
      <c r="AQ4" s="208"/>
      <c r="AR4" s="208"/>
      <c r="AS4" s="208"/>
      <c r="AT4" s="208"/>
      <c r="AU4" s="208"/>
      <c r="AV4" s="208"/>
      <c r="AW4" s="208"/>
      <c r="AX4" s="208"/>
      <c r="AY4" s="208"/>
      <c r="AZ4" s="208"/>
      <c r="BA4" s="208"/>
      <c r="BB4" s="208"/>
      <c r="BC4" s="208"/>
      <c r="BD4" s="208"/>
      <c r="BE4" s="208"/>
      <c r="BF4" s="208"/>
      <c r="BG4" s="208"/>
      <c r="BH4" s="208"/>
      <c r="BI4" s="208"/>
      <c r="BJ4" s="208"/>
      <c r="BK4" s="208"/>
      <c r="BL4" s="208"/>
      <c r="BM4" s="208"/>
      <c r="BN4" s="208"/>
      <c r="BO4" s="209"/>
      <c r="BP4" s="210" t="s">
        <v>46</v>
      </c>
      <c r="BQ4" s="211"/>
      <c r="BR4" s="211"/>
      <c r="BS4" s="212"/>
      <c r="BT4" s="213" t="s">
        <v>58</v>
      </c>
      <c r="BU4" s="213" t="s">
        <v>59</v>
      </c>
      <c r="BV4" s="213" t="s">
        <v>60</v>
      </c>
    </row>
    <row r="5" spans="1:74" ht="15.75" customHeight="1">
      <c r="A5" s="198" t="s">
        <v>47</v>
      </c>
      <c r="B5" s="198" t="s">
        <v>48</v>
      </c>
      <c r="C5" s="198" t="s">
        <v>49</v>
      </c>
      <c r="D5" s="198" t="s">
        <v>50</v>
      </c>
      <c r="E5" s="198" t="s">
        <v>51</v>
      </c>
      <c r="F5" s="203">
        <f>DATE(E4,E3,1)</f>
        <v>44896</v>
      </c>
      <c r="G5" s="204"/>
      <c r="H5" s="203">
        <f t="shared" ref="H5:BN5" si="0">IFERROR(IF((F5+1&gt;DATE($E$4,$E$3+1,0))+(F5=""),"",F5+1),"")</f>
        <v>44897</v>
      </c>
      <c r="I5" s="204"/>
      <c r="J5" s="203">
        <f t="shared" si="0"/>
        <v>44898</v>
      </c>
      <c r="K5" s="204"/>
      <c r="L5" s="203">
        <f t="shared" si="0"/>
        <v>44899</v>
      </c>
      <c r="M5" s="204"/>
      <c r="N5" s="203">
        <f t="shared" si="0"/>
        <v>44900</v>
      </c>
      <c r="O5" s="204"/>
      <c r="P5" s="203">
        <f t="shared" si="0"/>
        <v>44901</v>
      </c>
      <c r="Q5" s="204"/>
      <c r="R5" s="203">
        <f t="shared" si="0"/>
        <v>44902</v>
      </c>
      <c r="S5" s="204"/>
      <c r="T5" s="203">
        <f t="shared" si="0"/>
        <v>44903</v>
      </c>
      <c r="U5" s="204"/>
      <c r="V5" s="203">
        <f t="shared" si="0"/>
        <v>44904</v>
      </c>
      <c r="W5" s="204"/>
      <c r="X5" s="203">
        <f t="shared" si="0"/>
        <v>44905</v>
      </c>
      <c r="Y5" s="204"/>
      <c r="Z5" s="203">
        <f t="shared" si="0"/>
        <v>44906</v>
      </c>
      <c r="AA5" s="204"/>
      <c r="AB5" s="203">
        <f t="shared" si="0"/>
        <v>44907</v>
      </c>
      <c r="AC5" s="204"/>
      <c r="AD5" s="203">
        <f t="shared" si="0"/>
        <v>44908</v>
      </c>
      <c r="AE5" s="204"/>
      <c r="AF5" s="203">
        <f t="shared" si="0"/>
        <v>44909</v>
      </c>
      <c r="AG5" s="204"/>
      <c r="AH5" s="203">
        <f t="shared" si="0"/>
        <v>44910</v>
      </c>
      <c r="AI5" s="204"/>
      <c r="AJ5" s="203">
        <f t="shared" si="0"/>
        <v>44911</v>
      </c>
      <c r="AK5" s="204"/>
      <c r="AL5" s="203">
        <f t="shared" si="0"/>
        <v>44912</v>
      </c>
      <c r="AM5" s="204"/>
      <c r="AN5" s="203">
        <f t="shared" si="0"/>
        <v>44913</v>
      </c>
      <c r="AO5" s="204"/>
      <c r="AP5" s="203">
        <f t="shared" si="0"/>
        <v>44914</v>
      </c>
      <c r="AQ5" s="204"/>
      <c r="AR5" s="203">
        <f t="shared" si="0"/>
        <v>44915</v>
      </c>
      <c r="AS5" s="204"/>
      <c r="AT5" s="203">
        <f t="shared" si="0"/>
        <v>44916</v>
      </c>
      <c r="AU5" s="204"/>
      <c r="AV5" s="203">
        <f t="shared" si="0"/>
        <v>44917</v>
      </c>
      <c r="AW5" s="204"/>
      <c r="AX5" s="203">
        <f t="shared" si="0"/>
        <v>44918</v>
      </c>
      <c r="AY5" s="204"/>
      <c r="AZ5" s="203">
        <f t="shared" si="0"/>
        <v>44919</v>
      </c>
      <c r="BA5" s="204"/>
      <c r="BB5" s="203">
        <f t="shared" si="0"/>
        <v>44920</v>
      </c>
      <c r="BC5" s="204"/>
      <c r="BD5" s="203">
        <f t="shared" si="0"/>
        <v>44921</v>
      </c>
      <c r="BE5" s="204"/>
      <c r="BF5" s="203">
        <f t="shared" si="0"/>
        <v>44922</v>
      </c>
      <c r="BG5" s="204"/>
      <c r="BH5" s="203">
        <f t="shared" si="0"/>
        <v>44923</v>
      </c>
      <c r="BI5" s="204"/>
      <c r="BJ5" s="203">
        <f t="shared" si="0"/>
        <v>44924</v>
      </c>
      <c r="BK5" s="204"/>
      <c r="BL5" s="203">
        <f t="shared" si="0"/>
        <v>44925</v>
      </c>
      <c r="BM5" s="204"/>
      <c r="BN5" s="203">
        <f t="shared" si="0"/>
        <v>44926</v>
      </c>
      <c r="BO5" s="204"/>
      <c r="BP5" s="216" t="s">
        <v>54</v>
      </c>
      <c r="BQ5" s="216" t="s">
        <v>55</v>
      </c>
      <c r="BR5" s="216" t="s">
        <v>56</v>
      </c>
      <c r="BS5" s="216" t="s">
        <v>57</v>
      </c>
      <c r="BT5" s="214"/>
      <c r="BU5" s="214"/>
      <c r="BV5" s="214"/>
    </row>
    <row r="6" spans="1:74" ht="23.25" customHeight="1">
      <c r="A6" s="199"/>
      <c r="B6" s="199"/>
      <c r="C6" s="199"/>
      <c r="D6" s="199"/>
      <c r="E6" s="199"/>
      <c r="F6" s="201" t="str">
        <f>IFERROR(TEXT(F5,"DDD"),"")</f>
        <v>Thu</v>
      </c>
      <c r="G6" s="202"/>
      <c r="H6" s="201" t="str">
        <f>IFERROR(TEXT(H5,"DDD"),"")</f>
        <v>Fri</v>
      </c>
      <c r="I6" s="202"/>
      <c r="J6" s="201" t="str">
        <f t="shared" ref="J6" si="1">IFERROR(TEXT(J5,"DDD"),"")</f>
        <v>Sat</v>
      </c>
      <c r="K6" s="202"/>
      <c r="L6" s="201" t="str">
        <f t="shared" ref="L6" si="2">IFERROR(TEXT(L5,"DDD"),"")</f>
        <v>Sun</v>
      </c>
      <c r="M6" s="202"/>
      <c r="N6" s="201" t="str">
        <f t="shared" ref="N6" si="3">IFERROR(TEXT(N5,"DDD"),"")</f>
        <v>Mon</v>
      </c>
      <c r="O6" s="202"/>
      <c r="P6" s="201" t="str">
        <f t="shared" ref="P6" si="4">IFERROR(TEXT(P5,"DDD"),"")</f>
        <v>Tue</v>
      </c>
      <c r="Q6" s="202"/>
      <c r="R6" s="201" t="str">
        <f t="shared" ref="R6" si="5">IFERROR(TEXT(R5,"DDD"),"")</f>
        <v>Wed</v>
      </c>
      <c r="S6" s="202"/>
      <c r="T6" s="201" t="str">
        <f t="shared" ref="T6" si="6">IFERROR(TEXT(T5,"DDD"),"")</f>
        <v>Thu</v>
      </c>
      <c r="U6" s="202"/>
      <c r="V6" s="201" t="str">
        <f t="shared" ref="V6" si="7">IFERROR(TEXT(V5,"DDD"),"")</f>
        <v>Fri</v>
      </c>
      <c r="W6" s="202"/>
      <c r="X6" s="201" t="str">
        <f t="shared" ref="X6" si="8">IFERROR(TEXT(X5,"DDD"),"")</f>
        <v>Sat</v>
      </c>
      <c r="Y6" s="202"/>
      <c r="Z6" s="201" t="str">
        <f t="shared" ref="Z6" si="9">IFERROR(TEXT(Z5,"DDD"),"")</f>
        <v>Sun</v>
      </c>
      <c r="AA6" s="202"/>
      <c r="AB6" s="201" t="str">
        <f t="shared" ref="AB6" si="10">IFERROR(TEXT(AB5,"DDD"),"")</f>
        <v>Mon</v>
      </c>
      <c r="AC6" s="202"/>
      <c r="AD6" s="201" t="str">
        <f t="shared" ref="AD6" si="11">IFERROR(TEXT(AD5,"DDD"),"")</f>
        <v>Tue</v>
      </c>
      <c r="AE6" s="202"/>
      <c r="AF6" s="201" t="str">
        <f t="shared" ref="AF6" si="12">IFERROR(TEXT(AF5,"DDD"),"")</f>
        <v>Wed</v>
      </c>
      <c r="AG6" s="202"/>
      <c r="AH6" s="201" t="str">
        <f t="shared" ref="AH6" si="13">IFERROR(TEXT(AH5,"DDD"),"")</f>
        <v>Thu</v>
      </c>
      <c r="AI6" s="202"/>
      <c r="AJ6" s="201" t="str">
        <f t="shared" ref="AJ6" si="14">IFERROR(TEXT(AJ5,"DDD"),"")</f>
        <v>Fri</v>
      </c>
      <c r="AK6" s="202"/>
      <c r="AL6" s="201" t="str">
        <f t="shared" ref="AL6" si="15">IFERROR(TEXT(AL5,"DDD"),"")</f>
        <v>Sat</v>
      </c>
      <c r="AM6" s="202"/>
      <c r="AN6" s="201" t="str">
        <f t="shared" ref="AN6" si="16">IFERROR(TEXT(AN5,"DDD"),"")</f>
        <v>Sun</v>
      </c>
      <c r="AO6" s="202"/>
      <c r="AP6" s="201" t="str">
        <f t="shared" ref="AP6" si="17">IFERROR(TEXT(AP5,"DDD"),"")</f>
        <v>Mon</v>
      </c>
      <c r="AQ6" s="202"/>
      <c r="AR6" s="201" t="str">
        <f t="shared" ref="AR6" si="18">IFERROR(TEXT(AR5,"DDD"),"")</f>
        <v>Tue</v>
      </c>
      <c r="AS6" s="202"/>
      <c r="AT6" s="201" t="str">
        <f t="shared" ref="AT6" si="19">IFERROR(TEXT(AT5,"DDD"),"")</f>
        <v>Wed</v>
      </c>
      <c r="AU6" s="202"/>
      <c r="AV6" s="201" t="str">
        <f t="shared" ref="AV6" si="20">IFERROR(TEXT(AV5,"DDD"),"")</f>
        <v>Thu</v>
      </c>
      <c r="AW6" s="202"/>
      <c r="AX6" s="201" t="str">
        <f t="shared" ref="AX6" si="21">IFERROR(TEXT(AX5,"DDD"),"")</f>
        <v>Fri</v>
      </c>
      <c r="AY6" s="202"/>
      <c r="AZ6" s="201" t="str">
        <f t="shared" ref="AZ6" si="22">IFERROR(TEXT(AZ5,"DDD"),"")</f>
        <v>Sat</v>
      </c>
      <c r="BA6" s="202"/>
      <c r="BB6" s="201" t="str">
        <f>IFERROR(TEXT(BB5,"DDD"),"")</f>
        <v>Sun</v>
      </c>
      <c r="BC6" s="202"/>
      <c r="BD6" s="201" t="str">
        <f t="shared" ref="BD6" si="23">IFERROR(TEXT(BD5,"DDD"),"")</f>
        <v>Mon</v>
      </c>
      <c r="BE6" s="202"/>
      <c r="BF6" s="201" t="str">
        <f t="shared" ref="BF6" si="24">IFERROR(TEXT(BF5,"DDD"),"")</f>
        <v>Tue</v>
      </c>
      <c r="BG6" s="202"/>
      <c r="BH6" s="201" t="str">
        <f t="shared" ref="BH6" si="25">IFERROR(TEXT(BH5,"DDD"),"")</f>
        <v>Wed</v>
      </c>
      <c r="BI6" s="202"/>
      <c r="BJ6" s="201" t="str">
        <f t="shared" ref="BJ6" si="26">IFERROR(TEXT(BJ5,"DDD"),"")</f>
        <v>Thu</v>
      </c>
      <c r="BK6" s="202"/>
      <c r="BL6" s="201" t="str">
        <f t="shared" ref="BL6" si="27">IFERROR(TEXT(BL5,"DDD"),"")</f>
        <v>Fri</v>
      </c>
      <c r="BM6" s="202"/>
      <c r="BN6" s="201" t="str">
        <f t="shared" ref="BN6" si="28">IFERROR(TEXT(BN5,"DDD"),"")</f>
        <v>Sat</v>
      </c>
      <c r="BO6" s="202"/>
      <c r="BP6" s="217"/>
      <c r="BQ6" s="217"/>
      <c r="BR6" s="217"/>
      <c r="BS6" s="217"/>
      <c r="BT6" s="214"/>
      <c r="BU6" s="214"/>
      <c r="BV6" s="214"/>
    </row>
    <row r="7" spans="1:74" ht="24.75" customHeight="1">
      <c r="A7" s="200"/>
      <c r="B7" s="200"/>
      <c r="C7" s="200"/>
      <c r="D7" s="200"/>
      <c r="E7" s="200"/>
      <c r="F7" s="64" t="s">
        <v>52</v>
      </c>
      <c r="G7" s="64" t="s">
        <v>53</v>
      </c>
      <c r="H7" s="64" t="s">
        <v>52</v>
      </c>
      <c r="I7" s="64" t="s">
        <v>53</v>
      </c>
      <c r="J7" s="64" t="s">
        <v>52</v>
      </c>
      <c r="K7" s="64" t="s">
        <v>53</v>
      </c>
      <c r="L7" s="64" t="s">
        <v>52</v>
      </c>
      <c r="M7" s="64" t="s">
        <v>53</v>
      </c>
      <c r="N7" s="64" t="s">
        <v>52</v>
      </c>
      <c r="O7" s="64" t="s">
        <v>53</v>
      </c>
      <c r="P7" s="64" t="s">
        <v>52</v>
      </c>
      <c r="Q7" s="64" t="s">
        <v>53</v>
      </c>
      <c r="R7" s="64" t="s">
        <v>52</v>
      </c>
      <c r="S7" s="64" t="s">
        <v>53</v>
      </c>
      <c r="T7" s="64" t="s">
        <v>52</v>
      </c>
      <c r="U7" s="64" t="s">
        <v>53</v>
      </c>
      <c r="V7" s="64" t="s">
        <v>52</v>
      </c>
      <c r="W7" s="64" t="s">
        <v>53</v>
      </c>
      <c r="X7" s="64" t="s">
        <v>52</v>
      </c>
      <c r="Y7" s="64" t="s">
        <v>53</v>
      </c>
      <c r="Z7" s="64" t="s">
        <v>52</v>
      </c>
      <c r="AA7" s="64" t="s">
        <v>53</v>
      </c>
      <c r="AB7" s="64" t="s">
        <v>52</v>
      </c>
      <c r="AC7" s="64" t="s">
        <v>53</v>
      </c>
      <c r="AD7" s="64" t="s">
        <v>52</v>
      </c>
      <c r="AE7" s="64" t="s">
        <v>53</v>
      </c>
      <c r="AF7" s="64" t="s">
        <v>52</v>
      </c>
      <c r="AG7" s="64" t="s">
        <v>53</v>
      </c>
      <c r="AH7" s="64" t="s">
        <v>52</v>
      </c>
      <c r="AI7" s="64" t="s">
        <v>53</v>
      </c>
      <c r="AJ7" s="64" t="s">
        <v>52</v>
      </c>
      <c r="AK7" s="64" t="s">
        <v>53</v>
      </c>
      <c r="AL7" s="64" t="s">
        <v>52</v>
      </c>
      <c r="AM7" s="64" t="s">
        <v>53</v>
      </c>
      <c r="AN7" s="64" t="s">
        <v>52</v>
      </c>
      <c r="AO7" s="64" t="s">
        <v>53</v>
      </c>
      <c r="AP7" s="64" t="s">
        <v>52</v>
      </c>
      <c r="AQ7" s="64" t="s">
        <v>53</v>
      </c>
      <c r="AR7" s="64" t="s">
        <v>52</v>
      </c>
      <c r="AS7" s="64" t="s">
        <v>53</v>
      </c>
      <c r="AT7" s="64" t="s">
        <v>52</v>
      </c>
      <c r="AU7" s="64" t="s">
        <v>53</v>
      </c>
      <c r="AV7" s="64" t="s">
        <v>52</v>
      </c>
      <c r="AW7" s="64" t="s">
        <v>53</v>
      </c>
      <c r="AX7" s="64" t="s">
        <v>52</v>
      </c>
      <c r="AY7" s="64" t="s">
        <v>53</v>
      </c>
      <c r="AZ7" s="64" t="s">
        <v>52</v>
      </c>
      <c r="BA7" s="64" t="s">
        <v>53</v>
      </c>
      <c r="BB7" s="64" t="s">
        <v>52</v>
      </c>
      <c r="BC7" s="64" t="s">
        <v>53</v>
      </c>
      <c r="BD7" s="64" t="s">
        <v>52</v>
      </c>
      <c r="BE7" s="64" t="s">
        <v>53</v>
      </c>
      <c r="BF7" s="64" t="s">
        <v>52</v>
      </c>
      <c r="BG7" s="64" t="s">
        <v>53</v>
      </c>
      <c r="BH7" s="64" t="s">
        <v>52</v>
      </c>
      <c r="BI7" s="64" t="s">
        <v>53</v>
      </c>
      <c r="BJ7" s="64" t="s">
        <v>52</v>
      </c>
      <c r="BK7" s="64" t="s">
        <v>53</v>
      </c>
      <c r="BL7" s="64" t="s">
        <v>52</v>
      </c>
      <c r="BM7" s="64" t="s">
        <v>53</v>
      </c>
      <c r="BN7" s="64" t="s">
        <v>52</v>
      </c>
      <c r="BO7" s="64" t="s">
        <v>53</v>
      </c>
      <c r="BP7" s="218"/>
      <c r="BQ7" s="218"/>
      <c r="BR7" s="218"/>
      <c r="BS7" s="218"/>
      <c r="BT7" s="215"/>
      <c r="BU7" s="215"/>
      <c r="BV7" s="215"/>
    </row>
    <row r="8" spans="1:74" ht="15.75" customHeight="1">
      <c r="A8" s="65" t="s">
        <v>61</v>
      </c>
      <c r="B8" s="66" t="s">
        <v>62</v>
      </c>
      <c r="C8" s="67" t="s">
        <v>63</v>
      </c>
      <c r="D8" s="68" t="s">
        <v>64</v>
      </c>
      <c r="E8" s="68" t="s">
        <v>65</v>
      </c>
      <c r="F8" s="69">
        <v>0.3125</v>
      </c>
      <c r="G8" s="69">
        <v>0.71527777777777779</v>
      </c>
      <c r="H8" s="69">
        <v>0.33333333333333331</v>
      </c>
      <c r="I8" s="69">
        <v>0.70833333333333337</v>
      </c>
      <c r="J8" s="69">
        <v>0.33333333333333331</v>
      </c>
      <c r="K8" s="69">
        <v>0.70833333333333337</v>
      </c>
      <c r="L8" s="69"/>
      <c r="M8" s="69"/>
      <c r="N8" s="69">
        <v>0.33333333333333331</v>
      </c>
      <c r="O8" s="69">
        <v>0.70833333333333337</v>
      </c>
      <c r="P8" s="69">
        <v>0.33333333333333331</v>
      </c>
      <c r="Q8" s="69">
        <v>0.70833333333333337</v>
      </c>
      <c r="R8" s="69">
        <v>0.33333333333333331</v>
      </c>
      <c r="S8" s="69">
        <v>0.70833333333333337</v>
      </c>
      <c r="T8" s="69">
        <v>0.33333333333333331</v>
      </c>
      <c r="U8" s="69">
        <v>0.70833333333333337</v>
      </c>
      <c r="V8" s="69">
        <v>0.33333333333333331</v>
      </c>
      <c r="W8" s="69">
        <v>0.70833333333333337</v>
      </c>
      <c r="X8" s="69">
        <v>0.33333333333333331</v>
      </c>
      <c r="Y8" s="69">
        <v>0.70833333333333337</v>
      </c>
      <c r="Z8" s="69"/>
      <c r="AA8" s="69"/>
      <c r="AB8" s="69">
        <v>0.33333333333333331</v>
      </c>
      <c r="AC8" s="69">
        <v>0.70833333333333337</v>
      </c>
      <c r="AD8" s="69">
        <v>0.33333333333333331</v>
      </c>
      <c r="AE8" s="69">
        <v>0.70833333333333337</v>
      </c>
      <c r="AF8" s="69">
        <v>0.33333333333333331</v>
      </c>
      <c r="AG8" s="69">
        <v>0.70833333333333337</v>
      </c>
      <c r="AH8" s="69">
        <v>0.33333333333333331</v>
      </c>
      <c r="AI8" s="69">
        <v>0.70833333333333337</v>
      </c>
      <c r="AJ8" s="70"/>
      <c r="AK8" s="70"/>
      <c r="AL8" s="69">
        <v>0.33333333333333331</v>
      </c>
      <c r="AM8" s="69">
        <v>0.70833333333333337</v>
      </c>
      <c r="AN8" s="69"/>
      <c r="AO8" s="69"/>
      <c r="AP8" s="69">
        <v>0.33333333333333331</v>
      </c>
      <c r="AQ8" s="69">
        <v>0.70833333333333337</v>
      </c>
      <c r="AR8" s="69">
        <v>0.33333333333333331</v>
      </c>
      <c r="AS8" s="69">
        <v>0.70833333333333337</v>
      </c>
      <c r="AT8" s="69">
        <v>0.33333333333333331</v>
      </c>
      <c r="AU8" s="69">
        <v>0.70833333333333337</v>
      </c>
      <c r="AV8" s="69">
        <v>0.33333333333333331</v>
      </c>
      <c r="AW8" s="69">
        <v>0.70833333333333337</v>
      </c>
      <c r="AX8" s="69">
        <v>0.33333333333333331</v>
      </c>
      <c r="AY8" s="69">
        <v>0.70833333333333337</v>
      </c>
      <c r="AZ8" s="69">
        <v>0.33333333333333331</v>
      </c>
      <c r="BA8" s="69">
        <v>0.70833333333333337</v>
      </c>
      <c r="BB8" s="69"/>
      <c r="BC8" s="69"/>
      <c r="BD8" s="69">
        <v>0.33333333333333331</v>
      </c>
      <c r="BE8" s="69">
        <v>0.70833333333333337</v>
      </c>
      <c r="BF8" s="69">
        <v>0.33333333333333331</v>
      </c>
      <c r="BG8" s="69">
        <v>0.70833333333333337</v>
      </c>
      <c r="BH8" s="69">
        <v>0.33333333333333331</v>
      </c>
      <c r="BI8" s="69">
        <v>0.70833333333333337</v>
      </c>
      <c r="BJ8" s="69">
        <v>0.33333333333333331</v>
      </c>
      <c r="BK8" s="69">
        <v>0.70833333333333337</v>
      </c>
      <c r="BL8" s="69">
        <v>0.33333333333333331</v>
      </c>
      <c r="BM8" s="69">
        <v>0.70833333333333337</v>
      </c>
      <c r="BN8" s="69">
        <v>0.33333333333333331</v>
      </c>
      <c r="BO8" s="71">
        <v>0.70833333333333337</v>
      </c>
      <c r="BP8" s="72">
        <f>COUNTIFS($F8:$BO8,"&gt;"&amp;$D$1,$F$7:$BO$7,"IN")</f>
        <v>0</v>
      </c>
      <c r="BQ8" s="73">
        <f t="array" ref="BQ8">MINUTE(SUM(IF((F8:BO8&gt;TIME(8,0,0))*(HOUR(F8:BO8)&lt;12),F8:BO8-TIME(8,0,0),0)))</f>
        <v>0</v>
      </c>
      <c r="BR8" s="73">
        <f>COUNTIFS($F8:$BO8,"&lt;"&amp;$E$1,$F$7:$BO$7,"OUT")</f>
        <v>0</v>
      </c>
      <c r="BS8" s="73">
        <f t="array" ref="BS8">MINUTE(SUM(IF((F8:BO8&lt;TIME(17,0,0))*(HOUR(F8:BO8)&gt;12),TIME(17,0,0)-F8:BO8,0)))</f>
        <v>0</v>
      </c>
      <c r="BT8" s="74" t="e">
        <f t="shared" ref="BT8:BT9" ca="1" si="29">27-BU8-BV8/2</f>
        <v>#NAME?</v>
      </c>
      <c r="BU8" s="75" t="e">
        <f t="shared" ref="BU8" ca="1" si="30">IF(COUNTBLANK(valuesByColor("light green 3", "", F8:BO8))/2&lt;1,0,COUNTBLANK(valuesByColor("light green 3", "", F8:BO8))/2)</f>
        <v>#NAME?</v>
      </c>
      <c r="BV8" s="76">
        <f t="shared" ref="BV8" ca="1" si="31">ROUND(COUNT(valuesByColor("light yellow 3", "black", F8:BO8)),3)</f>
        <v>0</v>
      </c>
    </row>
    <row r="9" spans="1:74" ht="15.75" customHeight="1">
      <c r="A9" s="77" t="s">
        <v>66</v>
      </c>
      <c r="B9" s="78" t="s">
        <v>67</v>
      </c>
      <c r="C9" s="79" t="s">
        <v>63</v>
      </c>
      <c r="D9" s="79" t="s">
        <v>64</v>
      </c>
      <c r="E9" s="79" t="s">
        <v>68</v>
      </c>
      <c r="F9" s="70">
        <v>0.33402777777777781</v>
      </c>
      <c r="G9" s="70">
        <v>0.70694444444444438</v>
      </c>
      <c r="H9" s="70">
        <v>0.33333333333333331</v>
      </c>
      <c r="I9" s="70">
        <v>0.70833333333333337</v>
      </c>
      <c r="J9" s="70">
        <v>0.33333333333333331</v>
      </c>
      <c r="K9" s="70">
        <v>0.70833333333333337</v>
      </c>
      <c r="L9" s="70"/>
      <c r="M9" s="70"/>
      <c r="N9" s="70">
        <v>0.33333333333333331</v>
      </c>
      <c r="O9" s="70">
        <v>0.70833333333333337</v>
      </c>
      <c r="P9" s="70">
        <v>0.33333333333333331</v>
      </c>
      <c r="Q9" s="70">
        <v>0.70833333333333337</v>
      </c>
      <c r="R9" s="70">
        <v>0.33333333333333331</v>
      </c>
      <c r="S9" s="70">
        <v>0.70833333333333337</v>
      </c>
      <c r="T9" s="70">
        <v>0.33333333333333331</v>
      </c>
      <c r="U9" s="70">
        <v>0.70833333333333337</v>
      </c>
      <c r="V9" s="70">
        <v>0.33333333333333331</v>
      </c>
      <c r="W9" s="70">
        <v>0.70833333333333337</v>
      </c>
      <c r="X9" s="70">
        <v>0.33333333333333331</v>
      </c>
      <c r="Y9" s="70">
        <v>0.70833333333333337</v>
      </c>
      <c r="Z9" s="70"/>
      <c r="AA9" s="70"/>
      <c r="AB9" s="70">
        <v>0.33333333333333331</v>
      </c>
      <c r="AC9" s="70">
        <v>0.70833333333333337</v>
      </c>
      <c r="AD9" s="70">
        <v>0.33333333333333331</v>
      </c>
      <c r="AE9" s="70">
        <v>0.70833333333333337</v>
      </c>
      <c r="AF9" s="70">
        <v>0.33333333333333331</v>
      </c>
      <c r="AG9" s="70">
        <v>0.70833333333333337</v>
      </c>
      <c r="AH9" s="70">
        <v>0.33333333333333331</v>
      </c>
      <c r="AI9" s="70">
        <v>0.70833333333333337</v>
      </c>
      <c r="AJ9" s="70">
        <v>0.33333333333333331</v>
      </c>
      <c r="AK9" s="70">
        <v>0.70833333333333337</v>
      </c>
      <c r="AL9" s="70">
        <v>0.33333333333333331</v>
      </c>
      <c r="AM9" s="70">
        <v>0.70833333333333337</v>
      </c>
      <c r="AN9" s="70"/>
      <c r="AO9" s="70"/>
      <c r="AP9" s="70">
        <v>0.33333333333333331</v>
      </c>
      <c r="AQ9" s="70">
        <v>0.70833333333333337</v>
      </c>
      <c r="AR9" s="70">
        <v>0.33333333333333331</v>
      </c>
      <c r="AS9" s="70">
        <v>0.70833333333333337</v>
      </c>
      <c r="AT9" s="70">
        <v>0.33333333333333331</v>
      </c>
      <c r="AU9" s="70">
        <v>0.70833333333333337</v>
      </c>
      <c r="AV9" s="70">
        <v>0.33333333333333331</v>
      </c>
      <c r="AW9" s="70">
        <v>0.70833333333333337</v>
      </c>
      <c r="AX9" s="70">
        <v>0.33333333333333331</v>
      </c>
      <c r="AY9" s="70">
        <v>0.70833333333333337</v>
      </c>
      <c r="AZ9" s="70">
        <v>0.33333333333333331</v>
      </c>
      <c r="BA9" s="70">
        <v>0.70833333333333337</v>
      </c>
      <c r="BB9" s="70"/>
      <c r="BC9" s="70"/>
      <c r="BD9" s="70">
        <v>0.33333333333333331</v>
      </c>
      <c r="BE9" s="70">
        <v>0.70833333333333337</v>
      </c>
      <c r="BF9" s="70">
        <v>0.33333333333333331</v>
      </c>
      <c r="BG9" s="70">
        <v>0.70833333333333337</v>
      </c>
      <c r="BH9" s="70">
        <v>0.33333333333333331</v>
      </c>
      <c r="BI9" s="70">
        <v>0.70833333333333337</v>
      </c>
      <c r="BJ9" s="70">
        <v>0.33333333333333331</v>
      </c>
      <c r="BK9" s="70">
        <v>0.70833333333333337</v>
      </c>
      <c r="BL9" s="70">
        <v>0.33333333333333331</v>
      </c>
      <c r="BM9" s="70">
        <v>0.70833333333333337</v>
      </c>
      <c r="BN9" s="70">
        <v>0.33333333333333331</v>
      </c>
      <c r="BO9" s="80">
        <v>0.69097222222222221</v>
      </c>
      <c r="BP9" s="81">
        <f t="shared" ref="BP9" si="32">COUNTIFS($F9:$BO9,"&gt;"&amp; $D$1,$F$7:$BO$7,"IN")</f>
        <v>1</v>
      </c>
      <c r="BQ9" s="82">
        <f t="array" ref="BQ9">MINUTE(SUM(IF((F9:BO9&gt;TIME(8,0,0))*(HOUR(F9:BO9)&lt;12),F9:BO9-TIME(8,0,0),0)))</f>
        <v>1</v>
      </c>
      <c r="BR9" s="73">
        <f t="shared" ref="BR9" si="33">COUNTIFS($F9:$BO9,"&lt;"&amp;$E$1,$F$7:$BO$7,"OUT")</f>
        <v>2</v>
      </c>
      <c r="BS9" s="82">
        <f t="array" ref="BS9">MINUTE(SUM(IF((F9:BO9&lt;TIME(17,0,0))*(HOUR(F9:BO9)&gt;12),TIME(17,0,0)-F9:BO9,0)))</f>
        <v>27</v>
      </c>
      <c r="BT9" s="83" t="e">
        <f t="shared" ca="1" si="29"/>
        <v>#NAME?</v>
      </c>
      <c r="BU9" s="84" t="e">
        <f t="shared" ref="BU9" ca="1" si="34">IF(COUNTBLANK(valuesByColor("light green 3", "", F9:BO9))/2&lt;1,0,COUNTBLANK(valuesByColor("light green 3", "", F9:BO9))/2)</f>
        <v>#NAME?</v>
      </c>
      <c r="BV9" s="82">
        <f t="shared" ref="BV9" ca="1" si="35">ROUND(COUNT(valuesByColor("light yellow 3", "black", F9:BO9)),3)</f>
        <v>0</v>
      </c>
    </row>
  </sheetData>
  <mergeCells count="77">
    <mergeCell ref="BT4:BT7"/>
    <mergeCell ref="BU4:BU7"/>
    <mergeCell ref="BV4:BV7"/>
    <mergeCell ref="BP5:BP7"/>
    <mergeCell ref="BQ5:BQ7"/>
    <mergeCell ref="BR5:BR7"/>
    <mergeCell ref="BS5:BS7"/>
    <mergeCell ref="F3:BO3"/>
    <mergeCell ref="F4:BO4"/>
    <mergeCell ref="BP4:BS4"/>
    <mergeCell ref="F5:G5"/>
    <mergeCell ref="H5:I5"/>
    <mergeCell ref="T5:U5"/>
    <mergeCell ref="AB5:AC5"/>
    <mergeCell ref="AF5:AG5"/>
    <mergeCell ref="AL5:AM5"/>
    <mergeCell ref="AR5:AS5"/>
    <mergeCell ref="AX5:AY5"/>
    <mergeCell ref="BD5:BE5"/>
    <mergeCell ref="BJ5:BK5"/>
    <mergeCell ref="F6:G6"/>
    <mergeCell ref="H6:I6"/>
    <mergeCell ref="J5:K5"/>
    <mergeCell ref="J6:K6"/>
    <mergeCell ref="L5:M5"/>
    <mergeCell ref="L6:M6"/>
    <mergeCell ref="N6:O6"/>
    <mergeCell ref="N5:O5"/>
    <mergeCell ref="P5:Q5"/>
    <mergeCell ref="P6:Q6"/>
    <mergeCell ref="R5:S5"/>
    <mergeCell ref="R6:S6"/>
    <mergeCell ref="T6:U6"/>
    <mergeCell ref="V5:W5"/>
    <mergeCell ref="V6:W6"/>
    <mergeCell ref="X6:Y6"/>
    <mergeCell ref="X5:Y5"/>
    <mergeCell ref="Z6:AA6"/>
    <mergeCell ref="Z5:AA5"/>
    <mergeCell ref="AB6:AC6"/>
    <mergeCell ref="AD5:AE5"/>
    <mergeCell ref="AD6:AE6"/>
    <mergeCell ref="AF6:AG6"/>
    <mergeCell ref="AH5:AI5"/>
    <mergeCell ref="AH6:AI6"/>
    <mergeCell ref="AJ5:AK5"/>
    <mergeCell ref="AJ6:AK6"/>
    <mergeCell ref="AL6:AM6"/>
    <mergeCell ref="AN6:AO6"/>
    <mergeCell ref="AN5:AO5"/>
    <mergeCell ref="AP5:AQ5"/>
    <mergeCell ref="AP6:AQ6"/>
    <mergeCell ref="AR6:AS6"/>
    <mergeCell ref="AT5:AU5"/>
    <mergeCell ref="AT6:AU6"/>
    <mergeCell ref="AV5:AW5"/>
    <mergeCell ref="AV6:AW6"/>
    <mergeCell ref="AX6:AY6"/>
    <mergeCell ref="AZ5:BA5"/>
    <mergeCell ref="AZ6:BA6"/>
    <mergeCell ref="BB5:BC5"/>
    <mergeCell ref="BB6:BC6"/>
    <mergeCell ref="BD6:BE6"/>
    <mergeCell ref="BF5:BG5"/>
    <mergeCell ref="BF6:BG6"/>
    <mergeCell ref="BH5:BI5"/>
    <mergeCell ref="BH6:BI6"/>
    <mergeCell ref="BJ6:BK6"/>
    <mergeCell ref="BL5:BM5"/>
    <mergeCell ref="BL6:BM6"/>
    <mergeCell ref="BN5:BO5"/>
    <mergeCell ref="BN6:BO6"/>
    <mergeCell ref="A5:A7"/>
    <mergeCell ref="B5:B7"/>
    <mergeCell ref="C5:C7"/>
    <mergeCell ref="D5:D7"/>
    <mergeCell ref="E5:E7"/>
  </mergeCells>
  <conditionalFormatting sqref="F8:BO9">
    <cfRule type="expression" dxfId="25" priority="4">
      <formula>AND(WEEKDAY(F$5)=1,F$5&lt;&gt;"")</formula>
    </cfRule>
  </conditionalFormatting>
  <conditionalFormatting sqref="F8:BO9">
    <cfRule type="containsBlanks" dxfId="24" priority="3">
      <formula>LEN(TRIM(F8))=0</formula>
    </cfRule>
  </conditionalFormatting>
  <conditionalFormatting sqref="F8:BO9">
    <cfRule type="containsText" dxfId="23" priority="2" operator="containsText" text="12">
      <formula>NOT(ISERROR(SEARCH(("12"),(F8))))</formula>
    </cfRule>
  </conditionalFormatting>
  <conditionalFormatting sqref="F8:BO9">
    <cfRule type="containsText" dxfId="22" priority="1" operator="containsText" text="13">
      <formula>NOT(ISERROR(SEARCH(("13"),(F8))))</formula>
    </cfRule>
  </conditionalFormatting>
  <dataValidations disablePrompts="1" count="2">
    <dataValidation type="list" allowBlank="1" sqref="E4">
      <formula1>"2022,2023,2024"</formula1>
    </dataValidation>
    <dataValidation type="list" allowBlank="1" sqref="E3">
      <formula1>"1,2,3,4,5,6,7,8,9,10,11,12"</formula1>
    </dataValidation>
  </dataValidations>
  <pageMargins left="0.7" right="0.7" top="0.75" bottom="0.75" header="0" footer="0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>
  <sheetPr>
    <pageSetUpPr autoPageBreaks="0"/>
  </sheetPr>
  <dimension ref="A1:BO95"/>
  <sheetViews>
    <sheetView showGridLines="0" topLeftCell="B1" workbookViewId="0">
      <pane xSplit="8" ySplit="6" topLeftCell="J7" activePane="bottomRight" state="frozen"/>
      <selection activeCell="B1" sqref="B1"/>
      <selection pane="topRight" activeCell="J1" sqref="J1"/>
      <selection pane="bottomLeft" activeCell="B7" sqref="B7"/>
      <selection pane="bottomRight" activeCell="K6" sqref="K6"/>
    </sheetView>
  </sheetViews>
  <sheetFormatPr defaultRowHeight="15"/>
  <cols>
    <col min="1" max="1" width="2.140625" style="85" customWidth="1"/>
    <col min="2" max="2" width="6.28515625" style="87" customWidth="1"/>
    <col min="3" max="3" width="8.85546875" style="87" customWidth="1"/>
    <col min="4" max="4" width="10.28515625" style="87" customWidth="1"/>
    <col min="5" max="5" width="25" style="183" customWidth="1"/>
    <col min="6" max="6" width="14.28515625" style="183" customWidth="1"/>
    <col min="7" max="7" width="12.85546875" style="87" customWidth="1"/>
    <col min="8" max="8" width="6.140625" style="184" customWidth="1"/>
    <col min="9" max="9" width="7" style="87" customWidth="1"/>
    <col min="10" max="22" width="4.28515625" style="87" customWidth="1"/>
    <col min="23" max="23" width="4.28515625" style="185" customWidth="1"/>
    <col min="24" max="36" width="4.28515625" style="87" customWidth="1"/>
    <col min="37" max="38" width="4.28515625" style="185" customWidth="1"/>
    <col min="39" max="39" width="4.28515625" style="184" customWidth="1"/>
    <col min="40" max="40" width="4.28515625" style="186" customWidth="1"/>
    <col min="41" max="42" width="8.7109375" style="87" customWidth="1"/>
    <col min="43" max="43" width="6.85546875" style="87" customWidth="1"/>
    <col min="44" max="45" width="8.7109375" style="87" customWidth="1"/>
    <col min="46" max="47" width="6.85546875" style="87" customWidth="1"/>
    <col min="48" max="50" width="8.7109375" style="87" customWidth="1"/>
    <col min="51" max="52" width="6.42578125" style="87" customWidth="1"/>
    <col min="53" max="53" width="7.5703125" style="87" customWidth="1"/>
    <col min="54" max="54" width="6.85546875" style="187" customWidth="1"/>
    <col min="55" max="57" width="8.7109375" style="187" customWidth="1"/>
    <col min="58" max="63" width="6.5703125" style="87" customWidth="1"/>
    <col min="64" max="65" width="8.7109375" style="87" customWidth="1"/>
    <col min="66" max="66" width="7.85546875" style="87" hidden="1" customWidth="1"/>
    <col min="67" max="16384" width="9.140625" style="87"/>
  </cols>
  <sheetData>
    <row r="1" spans="1:67" ht="47.25" customHeight="1">
      <c r="B1" s="259" t="s">
        <v>69</v>
      </c>
      <c r="C1" s="259"/>
      <c r="D1" s="259"/>
      <c r="E1" s="259"/>
      <c r="F1" s="259"/>
      <c r="G1" s="259"/>
      <c r="H1" s="259"/>
      <c r="I1" s="259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6"/>
      <c r="AT1" s="86"/>
      <c r="AU1" s="86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</row>
    <row r="2" spans="1:67" s="91" customFormat="1" ht="21" hidden="1" customHeight="1">
      <c r="A2" s="88">
        <v>43709</v>
      </c>
      <c r="B2" s="89">
        <v>43770</v>
      </c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89"/>
      <c r="V2" s="89"/>
      <c r="W2" s="89"/>
      <c r="X2" s="89"/>
      <c r="Y2" s="89"/>
      <c r="Z2" s="89"/>
      <c r="AA2" s="89"/>
      <c r="AB2" s="89"/>
      <c r="AC2" s="89"/>
      <c r="AD2" s="89"/>
      <c r="AE2" s="89"/>
      <c r="AF2" s="89"/>
      <c r="AG2" s="89"/>
      <c r="AH2" s="89"/>
      <c r="AI2" s="89"/>
      <c r="AJ2" s="89"/>
      <c r="AK2" s="89"/>
      <c r="AL2" s="89"/>
      <c r="AM2" s="89"/>
      <c r="AN2" s="89"/>
      <c r="AO2" s="89"/>
      <c r="AP2" s="89"/>
      <c r="AQ2" s="89"/>
      <c r="AR2" s="89"/>
      <c r="AS2" s="89"/>
      <c r="AT2" s="89"/>
      <c r="AU2" s="89"/>
      <c r="AV2" s="89"/>
      <c r="AW2" s="89"/>
      <c r="AX2" s="89"/>
      <c r="AY2" s="89"/>
      <c r="AZ2" s="89"/>
      <c r="BA2" s="89"/>
      <c r="BB2" s="90"/>
      <c r="BC2" s="90"/>
      <c r="BD2" s="90"/>
      <c r="BE2" s="90"/>
      <c r="BF2" s="89"/>
      <c r="BG2" s="89"/>
      <c r="BH2" s="89"/>
      <c r="BI2" s="89"/>
      <c r="BJ2" s="89"/>
      <c r="BK2" s="89"/>
      <c r="BL2" s="89"/>
      <c r="BM2" s="89"/>
    </row>
    <row r="3" spans="1:67" s="94" customFormat="1" ht="21.75" customHeight="1" thickBot="1">
      <c r="A3" s="92"/>
      <c r="B3" s="260" t="s">
        <v>70</v>
      </c>
      <c r="C3" s="260"/>
      <c r="D3" s="260"/>
      <c r="E3" s="260"/>
      <c r="F3" s="260"/>
      <c r="G3" s="260"/>
      <c r="H3" s="260"/>
      <c r="I3" s="260"/>
      <c r="J3" s="260"/>
      <c r="K3" s="260"/>
      <c r="L3" s="93"/>
      <c r="M3" s="93"/>
      <c r="N3" s="93"/>
      <c r="O3" s="93"/>
      <c r="P3" s="93"/>
      <c r="Q3" s="93"/>
      <c r="R3" s="93"/>
      <c r="S3" s="93"/>
      <c r="T3" s="93"/>
      <c r="U3" s="93"/>
      <c r="V3" s="93"/>
      <c r="W3" s="93"/>
      <c r="X3" s="93"/>
      <c r="Y3" s="93"/>
      <c r="Z3" s="93"/>
      <c r="AA3" s="93"/>
      <c r="AB3" s="93"/>
      <c r="AC3" s="93"/>
      <c r="AD3" s="93"/>
      <c r="AE3" s="93"/>
      <c r="AF3" s="93"/>
      <c r="AG3" s="93"/>
      <c r="AH3" s="93"/>
      <c r="AI3" s="93"/>
      <c r="AJ3" s="93"/>
      <c r="AK3" s="93"/>
      <c r="AL3" s="93"/>
      <c r="AM3" s="93"/>
      <c r="AN3" s="93"/>
      <c r="AO3" s="93"/>
      <c r="AP3" s="93"/>
      <c r="AQ3" s="93"/>
      <c r="AR3" s="93"/>
      <c r="AS3" s="93"/>
      <c r="AT3" s="93"/>
      <c r="AU3" s="93"/>
      <c r="AV3" s="93"/>
      <c r="AW3" s="93"/>
      <c r="AX3" s="93"/>
      <c r="AY3" s="93"/>
      <c r="AZ3" s="93"/>
      <c r="BA3" s="93"/>
      <c r="BB3" s="93"/>
      <c r="BC3" s="93"/>
      <c r="BD3" s="93"/>
      <c r="BE3" s="93"/>
      <c r="BF3" s="93"/>
      <c r="BG3" s="93"/>
      <c r="BH3" s="93"/>
      <c r="BI3" s="93"/>
      <c r="BJ3" s="93"/>
      <c r="BK3" s="93"/>
      <c r="BL3" s="93"/>
      <c r="BM3" s="93"/>
    </row>
    <row r="4" spans="1:67" ht="22.5" customHeight="1">
      <c r="B4" s="261" t="s">
        <v>71</v>
      </c>
      <c r="C4" s="264" t="s">
        <v>72</v>
      </c>
      <c r="D4" s="264" t="s">
        <v>73</v>
      </c>
      <c r="E4" s="267" t="s">
        <v>74</v>
      </c>
      <c r="F4" s="270" t="s">
        <v>75</v>
      </c>
      <c r="G4" s="256" t="s">
        <v>76</v>
      </c>
      <c r="H4" s="273" t="s">
        <v>77</v>
      </c>
      <c r="I4" s="256" t="s">
        <v>78</v>
      </c>
      <c r="J4" s="276" t="s">
        <v>79</v>
      </c>
      <c r="K4" s="276"/>
      <c r="L4" s="276"/>
      <c r="M4" s="276"/>
      <c r="N4" s="276"/>
      <c r="O4" s="276"/>
      <c r="P4" s="276"/>
      <c r="Q4" s="276"/>
      <c r="R4" s="276"/>
      <c r="S4" s="276"/>
      <c r="T4" s="276"/>
      <c r="U4" s="276"/>
      <c r="V4" s="276"/>
      <c r="W4" s="276"/>
      <c r="X4" s="276"/>
      <c r="Y4" s="276"/>
      <c r="Z4" s="276"/>
      <c r="AA4" s="276"/>
      <c r="AB4" s="276"/>
      <c r="AC4" s="276"/>
      <c r="AD4" s="276"/>
      <c r="AE4" s="276"/>
      <c r="AF4" s="276"/>
      <c r="AG4" s="276"/>
      <c r="AH4" s="276"/>
      <c r="AI4" s="276"/>
      <c r="AJ4" s="276"/>
      <c r="AK4" s="276"/>
      <c r="AL4" s="276"/>
      <c r="AM4" s="276"/>
      <c r="AN4" s="276"/>
      <c r="AO4" s="256" t="s">
        <v>80</v>
      </c>
      <c r="AP4" s="243" t="s">
        <v>81</v>
      </c>
      <c r="AQ4" s="258"/>
      <c r="AR4" s="258"/>
      <c r="AS4" s="258"/>
      <c r="AT4" s="258"/>
      <c r="AU4" s="258"/>
      <c r="AV4" s="258"/>
      <c r="AW4" s="258"/>
      <c r="AX4" s="258"/>
      <c r="AY4" s="258"/>
      <c r="AZ4" s="258"/>
      <c r="BA4" s="258"/>
      <c r="BB4" s="258"/>
      <c r="BC4" s="252" t="s">
        <v>82</v>
      </c>
      <c r="BD4" s="252" t="s">
        <v>83</v>
      </c>
      <c r="BE4" s="252" t="s">
        <v>84</v>
      </c>
      <c r="BF4" s="241" t="s">
        <v>85</v>
      </c>
      <c r="BG4" s="242"/>
      <c r="BH4" s="242"/>
      <c r="BI4" s="242"/>
      <c r="BJ4" s="242"/>
      <c r="BK4" s="242"/>
      <c r="BL4" s="243" t="s">
        <v>86</v>
      </c>
      <c r="BM4" s="246" t="s">
        <v>87</v>
      </c>
      <c r="BN4" s="249" t="s">
        <v>88</v>
      </c>
      <c r="BO4" s="95"/>
    </row>
    <row r="5" spans="1:67" ht="26.25" customHeight="1">
      <c r="B5" s="262"/>
      <c r="C5" s="265"/>
      <c r="D5" s="265"/>
      <c r="E5" s="268"/>
      <c r="F5" s="271"/>
      <c r="G5" s="257"/>
      <c r="H5" s="274"/>
      <c r="I5" s="257"/>
      <c r="J5" s="96">
        <f>A2</f>
        <v>43709</v>
      </c>
      <c r="K5" s="96">
        <f>J5+1</f>
        <v>43710</v>
      </c>
      <c r="L5" s="96">
        <f t="shared" ref="L5:AK5" si="0">K5+1</f>
        <v>43711</v>
      </c>
      <c r="M5" s="96">
        <f t="shared" si="0"/>
        <v>43712</v>
      </c>
      <c r="N5" s="96">
        <f t="shared" si="0"/>
        <v>43713</v>
      </c>
      <c r="O5" s="96">
        <f t="shared" si="0"/>
        <v>43714</v>
      </c>
      <c r="P5" s="96">
        <f t="shared" si="0"/>
        <v>43715</v>
      </c>
      <c r="Q5" s="96">
        <f t="shared" si="0"/>
        <v>43716</v>
      </c>
      <c r="R5" s="96">
        <f t="shared" si="0"/>
        <v>43717</v>
      </c>
      <c r="S5" s="96">
        <f t="shared" si="0"/>
        <v>43718</v>
      </c>
      <c r="T5" s="96">
        <f t="shared" si="0"/>
        <v>43719</v>
      </c>
      <c r="U5" s="96">
        <f t="shared" si="0"/>
        <v>43720</v>
      </c>
      <c r="V5" s="96">
        <f t="shared" si="0"/>
        <v>43721</v>
      </c>
      <c r="W5" s="96">
        <f t="shared" si="0"/>
        <v>43722</v>
      </c>
      <c r="X5" s="96">
        <f t="shared" si="0"/>
        <v>43723</v>
      </c>
      <c r="Y5" s="96">
        <f t="shared" si="0"/>
        <v>43724</v>
      </c>
      <c r="Z5" s="96">
        <f t="shared" si="0"/>
        <v>43725</v>
      </c>
      <c r="AA5" s="96">
        <f t="shared" si="0"/>
        <v>43726</v>
      </c>
      <c r="AB5" s="96">
        <f t="shared" si="0"/>
        <v>43727</v>
      </c>
      <c r="AC5" s="96">
        <f t="shared" si="0"/>
        <v>43728</v>
      </c>
      <c r="AD5" s="96">
        <f t="shared" si="0"/>
        <v>43729</v>
      </c>
      <c r="AE5" s="96">
        <f t="shared" si="0"/>
        <v>43730</v>
      </c>
      <c r="AF5" s="96">
        <f t="shared" si="0"/>
        <v>43731</v>
      </c>
      <c r="AG5" s="96">
        <f t="shared" si="0"/>
        <v>43732</v>
      </c>
      <c r="AH5" s="96">
        <f t="shared" si="0"/>
        <v>43733</v>
      </c>
      <c r="AI5" s="96">
        <f>AH5+1</f>
        <v>43734</v>
      </c>
      <c r="AJ5" s="96">
        <f t="shared" si="0"/>
        <v>43735</v>
      </c>
      <c r="AK5" s="96">
        <f t="shared" si="0"/>
        <v>43736</v>
      </c>
      <c r="AL5" s="96">
        <f>IF(DAY(AK5+1)=DAY(J5),"",AK5+1)</f>
        <v>43737</v>
      </c>
      <c r="AM5" s="96">
        <f>IF(AL5="","",AL5+1)</f>
        <v>43738</v>
      </c>
      <c r="AN5" s="96" t="str">
        <f>IF(AM5="","",IF(DAY(AM5+1)=DAY(J5),"",AM5+1))</f>
        <v/>
      </c>
      <c r="AO5" s="257"/>
      <c r="AP5" s="231" t="s">
        <v>89</v>
      </c>
      <c r="AQ5" s="231" t="s">
        <v>90</v>
      </c>
      <c r="AR5" s="231" t="s">
        <v>91</v>
      </c>
      <c r="AS5" s="231" t="s">
        <v>92</v>
      </c>
      <c r="AT5" s="231" t="s">
        <v>93</v>
      </c>
      <c r="AU5" s="231" t="s">
        <v>94</v>
      </c>
      <c r="AV5" s="231" t="s">
        <v>95</v>
      </c>
      <c r="AW5" s="231" t="s">
        <v>96</v>
      </c>
      <c r="AX5" s="231" t="s">
        <v>97</v>
      </c>
      <c r="AY5" s="231" t="s">
        <v>98</v>
      </c>
      <c r="AZ5" s="231" t="s">
        <v>99</v>
      </c>
      <c r="BA5" s="231" t="s">
        <v>100</v>
      </c>
      <c r="BB5" s="233" t="s">
        <v>101</v>
      </c>
      <c r="BC5" s="253"/>
      <c r="BD5" s="253"/>
      <c r="BE5" s="253"/>
      <c r="BF5" s="219" t="s">
        <v>102</v>
      </c>
      <c r="BG5" s="219" t="s">
        <v>103</v>
      </c>
      <c r="BH5" s="219" t="s">
        <v>104</v>
      </c>
      <c r="BI5" s="219" t="s">
        <v>105</v>
      </c>
      <c r="BJ5" s="219" t="s">
        <v>106</v>
      </c>
      <c r="BK5" s="255" t="s">
        <v>107</v>
      </c>
      <c r="BL5" s="244"/>
      <c r="BM5" s="247"/>
      <c r="BN5" s="250"/>
      <c r="BO5" s="95"/>
    </row>
    <row r="6" spans="1:67" ht="36" customHeight="1" thickBot="1">
      <c r="A6" s="97"/>
      <c r="B6" s="263"/>
      <c r="C6" s="266"/>
      <c r="D6" s="266"/>
      <c r="E6" s="269"/>
      <c r="F6" s="272"/>
      <c r="G6" s="220"/>
      <c r="H6" s="275"/>
      <c r="I6" s="220"/>
      <c r="J6" s="98" t="str">
        <f>CHOOSE(WEEKDAY(J5),"  CN","  T. hai","  T. ba","  T. tư","  T. năm","  T. sáu","  T. bảy")</f>
        <v xml:space="preserve">  CN</v>
      </c>
      <c r="K6" s="98" t="str">
        <f t="shared" ref="K6:AK6" si="1">CHOOSE(WEEKDAY(K5),"  CN","  T. hai","  T. ba","  T. tư","  T. năm","  T. sáu","  T. bảy")</f>
        <v xml:space="preserve">  T. hai</v>
      </c>
      <c r="L6" s="98" t="str">
        <f t="shared" si="1"/>
        <v xml:space="preserve">  T. ba</v>
      </c>
      <c r="M6" s="98" t="str">
        <f t="shared" si="1"/>
        <v xml:space="preserve">  T. tư</v>
      </c>
      <c r="N6" s="98" t="str">
        <f t="shared" si="1"/>
        <v xml:space="preserve">  T. năm</v>
      </c>
      <c r="O6" s="98" t="str">
        <f t="shared" si="1"/>
        <v xml:space="preserve">  T. sáu</v>
      </c>
      <c r="P6" s="98" t="str">
        <f t="shared" si="1"/>
        <v xml:space="preserve">  T. bảy</v>
      </c>
      <c r="Q6" s="98" t="str">
        <f t="shared" si="1"/>
        <v xml:space="preserve">  CN</v>
      </c>
      <c r="R6" s="98" t="str">
        <f t="shared" si="1"/>
        <v xml:space="preserve">  T. hai</v>
      </c>
      <c r="S6" s="98" t="str">
        <f t="shared" si="1"/>
        <v xml:space="preserve">  T. ba</v>
      </c>
      <c r="T6" s="98" t="str">
        <f t="shared" si="1"/>
        <v xml:space="preserve">  T. tư</v>
      </c>
      <c r="U6" s="98" t="str">
        <f t="shared" si="1"/>
        <v xml:space="preserve">  T. năm</v>
      </c>
      <c r="V6" s="98" t="str">
        <f t="shared" si="1"/>
        <v xml:space="preserve">  T. sáu</v>
      </c>
      <c r="W6" s="98" t="str">
        <f t="shared" si="1"/>
        <v xml:space="preserve">  T. bảy</v>
      </c>
      <c r="X6" s="98" t="str">
        <f t="shared" si="1"/>
        <v xml:space="preserve">  CN</v>
      </c>
      <c r="Y6" s="98" t="str">
        <f t="shared" si="1"/>
        <v xml:space="preserve">  T. hai</v>
      </c>
      <c r="Z6" s="98" t="str">
        <f t="shared" si="1"/>
        <v xml:space="preserve">  T. ba</v>
      </c>
      <c r="AA6" s="98" t="str">
        <f t="shared" si="1"/>
        <v xml:space="preserve">  T. tư</v>
      </c>
      <c r="AB6" s="98" t="str">
        <f t="shared" si="1"/>
        <v xml:space="preserve">  T. năm</v>
      </c>
      <c r="AC6" s="98" t="str">
        <f t="shared" si="1"/>
        <v xml:space="preserve">  T. sáu</v>
      </c>
      <c r="AD6" s="98" t="str">
        <f t="shared" si="1"/>
        <v xml:space="preserve">  T. bảy</v>
      </c>
      <c r="AE6" s="98" t="str">
        <f t="shared" si="1"/>
        <v xml:space="preserve">  CN</v>
      </c>
      <c r="AF6" s="98" t="str">
        <f t="shared" si="1"/>
        <v xml:space="preserve">  T. hai</v>
      </c>
      <c r="AG6" s="98" t="str">
        <f t="shared" si="1"/>
        <v xml:space="preserve">  T. ba</v>
      </c>
      <c r="AH6" s="98" t="str">
        <f t="shared" si="1"/>
        <v xml:space="preserve">  T. tư</v>
      </c>
      <c r="AI6" s="98" t="str">
        <f t="shared" si="1"/>
        <v xml:space="preserve">  T. năm</v>
      </c>
      <c r="AJ6" s="98" t="str">
        <f t="shared" si="1"/>
        <v xml:space="preserve">  T. sáu</v>
      </c>
      <c r="AK6" s="98" t="str">
        <f t="shared" si="1"/>
        <v xml:space="preserve">  T. bảy</v>
      </c>
      <c r="AL6" s="98" t="str">
        <f>IF(AL5&lt;&gt;"",CHOOSE(WEEKDAY(AL5),"  CN","  T. hai","  T. ba","  T. tư","  T. năm","  T. sáu","  T. bảy")," ")</f>
        <v xml:space="preserve">  CN</v>
      </c>
      <c r="AM6" s="98" t="str">
        <f>IF(AM5&lt;&gt;"",CHOOSE(WEEKDAY(AM5),"  CN","  T. hai","  T. ba","  T. tư","  T. năm","  T. sáu","  T. bảy")," ")</f>
        <v xml:space="preserve">  T. hai</v>
      </c>
      <c r="AN6" s="98" t="str">
        <f>IF(AN5&lt;&gt;"",CHOOSE(WEEKDAY(AN5),"  CN","  T. hai","  T. ba","  T. tư","  T. năm","  T. sáu","  T. bảy")," ")</f>
        <v xml:space="preserve"> </v>
      </c>
      <c r="AO6" s="220"/>
      <c r="AP6" s="232"/>
      <c r="AQ6" s="232"/>
      <c r="AR6" s="232"/>
      <c r="AS6" s="232"/>
      <c r="AT6" s="232"/>
      <c r="AU6" s="232"/>
      <c r="AV6" s="232"/>
      <c r="AW6" s="232"/>
      <c r="AX6" s="232"/>
      <c r="AY6" s="232"/>
      <c r="AZ6" s="232"/>
      <c r="BA6" s="232"/>
      <c r="BB6" s="234"/>
      <c r="BC6" s="254"/>
      <c r="BD6" s="254"/>
      <c r="BE6" s="254"/>
      <c r="BF6" s="220"/>
      <c r="BG6" s="220"/>
      <c r="BH6" s="220"/>
      <c r="BI6" s="220"/>
      <c r="BJ6" s="220"/>
      <c r="BK6" s="245"/>
      <c r="BL6" s="245"/>
      <c r="BM6" s="248"/>
      <c r="BN6" s="251"/>
      <c r="BO6" s="95"/>
    </row>
    <row r="7" spans="1:67" s="112" customFormat="1" ht="24" customHeight="1">
      <c r="A7" s="99">
        <v>0</v>
      </c>
      <c r="B7" s="235" t="s">
        <v>108</v>
      </c>
      <c r="C7" s="236"/>
      <c r="D7" s="237"/>
      <c r="E7" s="237"/>
      <c r="F7" s="237"/>
      <c r="G7" s="238"/>
      <c r="H7" s="239" t="s">
        <v>109</v>
      </c>
      <c r="I7" s="240"/>
      <c r="J7" s="100">
        <v>32.000000000000064</v>
      </c>
      <c r="K7" s="100">
        <v>0</v>
      </c>
      <c r="L7" s="100">
        <v>224.0000000000006</v>
      </c>
      <c r="M7" s="100">
        <v>207.80000000000052</v>
      </c>
      <c r="N7" s="100">
        <v>200.00000000000051</v>
      </c>
      <c r="O7" s="100">
        <v>220.00000000000057</v>
      </c>
      <c r="P7" s="100">
        <v>224.0000000000006</v>
      </c>
      <c r="Q7" s="100">
        <v>16.000000000000032</v>
      </c>
      <c r="R7" s="100">
        <v>0</v>
      </c>
      <c r="S7" s="100">
        <v>192.00000000000045</v>
      </c>
      <c r="T7" s="100">
        <v>216.00000000000054</v>
      </c>
      <c r="U7" s="100">
        <v>228.0000000000006</v>
      </c>
      <c r="V7" s="100">
        <v>223.93333333333391</v>
      </c>
      <c r="W7" s="101">
        <v>212.00000000000054</v>
      </c>
      <c r="X7" s="100">
        <v>24.00000000000005</v>
      </c>
      <c r="Y7" s="100">
        <v>0</v>
      </c>
      <c r="Z7" s="100">
        <v>211.96666666666721</v>
      </c>
      <c r="AA7" s="100">
        <v>224.0000000000006</v>
      </c>
      <c r="AB7" s="100">
        <v>204.00000000000051</v>
      </c>
      <c r="AC7" s="100">
        <v>216.00000000000057</v>
      </c>
      <c r="AD7" s="100">
        <v>212.00000000000054</v>
      </c>
      <c r="AE7" s="100">
        <v>0</v>
      </c>
      <c r="AF7" s="100">
        <v>0</v>
      </c>
      <c r="AG7" s="100">
        <v>232.00000000000063</v>
      </c>
      <c r="AH7" s="100">
        <v>215.51666666666722</v>
      </c>
      <c r="AI7" s="100">
        <v>208.00000000000051</v>
      </c>
      <c r="AJ7" s="100">
        <v>215.88333333333389</v>
      </c>
      <c r="AK7" s="101">
        <v>176.00000000000043</v>
      </c>
      <c r="AL7" s="102">
        <v>24.00000000000005</v>
      </c>
      <c r="AM7" s="103">
        <v>224.0000000000006</v>
      </c>
      <c r="AN7" s="104"/>
      <c r="AO7" s="105">
        <f t="shared" ref="AO7:AO11" si="2">SUM(J7:AN7)</f>
        <v>4583.1000000000113</v>
      </c>
      <c r="AP7" s="106">
        <v>260.00000000000057</v>
      </c>
      <c r="AQ7" s="106">
        <v>0</v>
      </c>
      <c r="AR7" s="106">
        <v>0</v>
      </c>
      <c r="AS7" s="106">
        <v>0</v>
      </c>
      <c r="AT7" s="106">
        <v>0</v>
      </c>
      <c r="AU7" s="106">
        <v>0</v>
      </c>
      <c r="AV7" s="106">
        <v>1056.0000000000023</v>
      </c>
      <c r="AW7" s="106">
        <v>36.000000000000071</v>
      </c>
      <c r="AX7" s="106">
        <v>28.000000000000057</v>
      </c>
      <c r="AY7" s="106">
        <v>0.90000000000000013</v>
      </c>
      <c r="AZ7" s="106">
        <v>0</v>
      </c>
      <c r="BA7" s="106">
        <v>8</v>
      </c>
      <c r="BB7" s="107">
        <v>29</v>
      </c>
      <c r="BC7" s="108">
        <f>SUBTOTAL(9,BC8:BC9)</f>
        <v>332.00000000000074</v>
      </c>
      <c r="BD7" s="108">
        <f>SUBTOTAL(9,BD8:BD9)</f>
        <v>0</v>
      </c>
      <c r="BE7" s="108">
        <f>SUBTOTAL(9,BE8:BE9)</f>
        <v>0</v>
      </c>
      <c r="BF7" s="106">
        <v>188.29999999999998</v>
      </c>
      <c r="BG7" s="106">
        <v>256</v>
      </c>
      <c r="BH7" s="106">
        <v>0</v>
      </c>
      <c r="BI7" s="106">
        <v>0</v>
      </c>
      <c r="BJ7" s="106">
        <v>8.7833333333333332</v>
      </c>
      <c r="BK7" s="106">
        <v>16</v>
      </c>
      <c r="BL7" s="109">
        <f>SUBTOTAL(9,BL8:BL9)</f>
        <v>80</v>
      </c>
      <c r="BM7" s="109">
        <f>SUBTOTAL(9,BM8:BM9)</f>
        <v>171.6</v>
      </c>
      <c r="BN7" s="110" t="s">
        <v>110</v>
      </c>
      <c r="BO7" s="111"/>
    </row>
    <row r="8" spans="1:67" s="133" customFormat="1">
      <c r="A8" s="113">
        <v>7</v>
      </c>
      <c r="B8" s="114">
        <v>1</v>
      </c>
      <c r="C8" s="115">
        <v>1</v>
      </c>
      <c r="D8" s="116" t="s">
        <v>111</v>
      </c>
      <c r="E8" s="117" t="s">
        <v>112</v>
      </c>
      <c r="F8" s="117" t="s">
        <v>113</v>
      </c>
      <c r="G8" s="118">
        <v>39282</v>
      </c>
      <c r="H8" s="119" t="s">
        <v>114</v>
      </c>
      <c r="I8" s="120" t="s">
        <v>115</v>
      </c>
      <c r="J8" s="121"/>
      <c r="K8" s="121"/>
      <c r="L8" s="121">
        <v>8.000000000000016</v>
      </c>
      <c r="M8" s="121">
        <v>8.000000000000016</v>
      </c>
      <c r="N8" s="121">
        <v>8.000000000000016</v>
      </c>
      <c r="O8" s="121">
        <v>8.000000000000016</v>
      </c>
      <c r="P8" s="121">
        <v>8.000000000000016</v>
      </c>
      <c r="Q8" s="121"/>
      <c r="R8" s="121"/>
      <c r="S8" s="121">
        <v>8.000000000000016</v>
      </c>
      <c r="T8" s="121">
        <v>8.000000000000016</v>
      </c>
      <c r="U8" s="121">
        <v>8.000000000000016</v>
      </c>
      <c r="V8" s="121">
        <v>8.000000000000016</v>
      </c>
      <c r="W8" s="122">
        <v>8.000000000000016</v>
      </c>
      <c r="X8" s="121"/>
      <c r="Y8" s="121"/>
      <c r="Z8" s="121">
        <v>8.000000000000016</v>
      </c>
      <c r="AA8" s="121">
        <v>8.000000000000016</v>
      </c>
      <c r="AB8" s="121">
        <v>8.000000000000016</v>
      </c>
      <c r="AC8" s="121">
        <v>8.000000000000016</v>
      </c>
      <c r="AD8" s="121">
        <v>8.000000000000016</v>
      </c>
      <c r="AE8" s="121"/>
      <c r="AF8" s="121"/>
      <c r="AG8" s="121">
        <v>8.000000000000016</v>
      </c>
      <c r="AH8" s="121">
        <v>8.000000000000016</v>
      </c>
      <c r="AI8" s="121">
        <v>8.000000000000016</v>
      </c>
      <c r="AJ8" s="121"/>
      <c r="AK8" s="122"/>
      <c r="AL8" s="123"/>
      <c r="AM8" s="124">
        <v>8.000000000000016</v>
      </c>
      <c r="AN8" s="125"/>
      <c r="AO8" s="126">
        <f t="shared" si="2"/>
        <v>152.00000000000034</v>
      </c>
      <c r="AP8" s="127">
        <v>16.000000000000032</v>
      </c>
      <c r="AQ8" s="127"/>
      <c r="AR8" s="127"/>
      <c r="AS8" s="127"/>
      <c r="AT8" s="127"/>
      <c r="AU8" s="127"/>
      <c r="AV8" s="127">
        <v>40.000000000000078</v>
      </c>
      <c r="AW8" s="127"/>
      <c r="AX8" s="127"/>
      <c r="AY8" s="127"/>
      <c r="AZ8" s="127"/>
      <c r="BA8" s="127"/>
      <c r="BB8" s="128">
        <v>1</v>
      </c>
      <c r="BC8" s="129">
        <f t="shared" ref="BC8:BC9" si="3">SUM(AO8:AS8)</f>
        <v>168.00000000000037</v>
      </c>
      <c r="BD8" s="129">
        <f t="shared" ref="BD8:BD9" si="4">SUM(AT8:AU8)</f>
        <v>0</v>
      </c>
      <c r="BE8" s="129">
        <f t="shared" ref="BE8:BE9" si="5">SUM(AX8:BA8)</f>
        <v>0</v>
      </c>
      <c r="BF8" s="127"/>
      <c r="BG8" s="127">
        <v>72</v>
      </c>
      <c r="BH8" s="127"/>
      <c r="BI8" s="127"/>
      <c r="BJ8" s="127"/>
      <c r="BK8" s="127">
        <v>8</v>
      </c>
      <c r="BL8" s="130">
        <f t="shared" ref="BL8:BL9" si="6">SUM(BF8:BK8)</f>
        <v>80</v>
      </c>
      <c r="BM8" s="130">
        <f t="shared" ref="BM8:BM9" si="7">BF8*1.5 +BG8*1.95 +BH8*2 +BI8*2.6 +BJ8*3 +BK8*3.9</f>
        <v>171.6</v>
      </c>
      <c r="BN8" s="131" t="s">
        <v>110</v>
      </c>
      <c r="BO8" s="132"/>
    </row>
    <row r="9" spans="1:67" s="133" customFormat="1">
      <c r="A9" s="113">
        <v>7</v>
      </c>
      <c r="B9" s="114">
        <v>26</v>
      </c>
      <c r="C9" s="115">
        <v>26</v>
      </c>
      <c r="D9" s="116" t="s">
        <v>118</v>
      </c>
      <c r="E9" s="134" t="s">
        <v>119</v>
      </c>
      <c r="F9" s="117" t="s">
        <v>113</v>
      </c>
      <c r="G9" s="135"/>
      <c r="H9" s="119" t="s">
        <v>114</v>
      </c>
      <c r="I9" s="120" t="s">
        <v>115</v>
      </c>
      <c r="J9" s="121"/>
      <c r="K9" s="121"/>
      <c r="L9" s="121">
        <v>8.000000000000016</v>
      </c>
      <c r="M9" s="121">
        <v>8.000000000000016</v>
      </c>
      <c r="N9" s="121">
        <v>8.000000000000016</v>
      </c>
      <c r="O9" s="121">
        <v>8.000000000000016</v>
      </c>
      <c r="P9" s="121">
        <v>8.000000000000016</v>
      </c>
      <c r="Q9" s="121"/>
      <c r="R9" s="121"/>
      <c r="S9" s="121"/>
      <c r="T9" s="121">
        <v>8.000000000000016</v>
      </c>
      <c r="U9" s="121">
        <v>8.000000000000016</v>
      </c>
      <c r="V9" s="121">
        <v>8.000000000000016</v>
      </c>
      <c r="W9" s="122">
        <v>8.000000000000016</v>
      </c>
      <c r="X9" s="121"/>
      <c r="Y9" s="121"/>
      <c r="Z9" s="121">
        <v>8.000000000000016</v>
      </c>
      <c r="AA9" s="121">
        <v>8.000000000000016</v>
      </c>
      <c r="AB9" s="121">
        <v>8.000000000000016</v>
      </c>
      <c r="AC9" s="121">
        <v>8.000000000000016</v>
      </c>
      <c r="AD9" s="121">
        <v>8.000000000000016</v>
      </c>
      <c r="AE9" s="121"/>
      <c r="AF9" s="121"/>
      <c r="AG9" s="121">
        <v>8.000000000000016</v>
      </c>
      <c r="AH9" s="121">
        <v>8.000000000000016</v>
      </c>
      <c r="AI9" s="121">
        <v>8.000000000000016</v>
      </c>
      <c r="AJ9" s="121">
        <v>8.000000000000016</v>
      </c>
      <c r="AK9" s="122">
        <v>8.000000000000016</v>
      </c>
      <c r="AL9" s="123"/>
      <c r="AM9" s="124">
        <v>8.000000000000016</v>
      </c>
      <c r="AN9" s="125"/>
      <c r="AO9" s="126">
        <f t="shared" si="2"/>
        <v>160.00000000000037</v>
      </c>
      <c r="AP9" s="127">
        <v>4.000000000000008</v>
      </c>
      <c r="AQ9" s="127"/>
      <c r="AR9" s="127"/>
      <c r="AS9" s="127"/>
      <c r="AT9" s="127"/>
      <c r="AU9" s="127"/>
      <c r="AV9" s="127">
        <v>40.000000000000078</v>
      </c>
      <c r="AW9" s="127"/>
      <c r="AX9" s="127"/>
      <c r="AY9" s="127"/>
      <c r="AZ9" s="127"/>
      <c r="BA9" s="127"/>
      <c r="BB9" s="128">
        <v>1</v>
      </c>
      <c r="BC9" s="129">
        <f t="shared" si="3"/>
        <v>164.00000000000037</v>
      </c>
      <c r="BD9" s="129">
        <f t="shared" si="4"/>
        <v>0</v>
      </c>
      <c r="BE9" s="129">
        <f t="shared" si="5"/>
        <v>0</v>
      </c>
      <c r="BF9" s="127"/>
      <c r="BG9" s="127"/>
      <c r="BH9" s="127"/>
      <c r="BI9" s="127"/>
      <c r="BJ9" s="127"/>
      <c r="BK9" s="127"/>
      <c r="BL9" s="130">
        <f t="shared" si="6"/>
        <v>0</v>
      </c>
      <c r="BM9" s="130">
        <f t="shared" si="7"/>
        <v>0</v>
      </c>
      <c r="BN9" s="131"/>
      <c r="BO9" s="132"/>
    </row>
    <row r="10" spans="1:67" s="112" customFormat="1" ht="24" customHeight="1">
      <c r="A10" s="99">
        <v>0</v>
      </c>
      <c r="B10" s="221" t="s">
        <v>120</v>
      </c>
      <c r="C10" s="227"/>
      <c r="D10" s="222"/>
      <c r="E10" s="222"/>
      <c r="F10" s="222"/>
      <c r="G10" s="228"/>
      <c r="H10" s="225" t="s">
        <v>109</v>
      </c>
      <c r="I10" s="226"/>
      <c r="J10" s="136">
        <v>0</v>
      </c>
      <c r="K10" s="136">
        <v>0</v>
      </c>
      <c r="L10" s="136">
        <v>48.000000000000092</v>
      </c>
      <c r="M10" s="136">
        <v>52.000000000000099</v>
      </c>
      <c r="N10" s="136">
        <v>56.000000000000107</v>
      </c>
      <c r="O10" s="136">
        <v>56.000000000000107</v>
      </c>
      <c r="P10" s="136">
        <v>56.000000000000107</v>
      </c>
      <c r="Q10" s="136">
        <v>0</v>
      </c>
      <c r="R10" s="136">
        <v>0</v>
      </c>
      <c r="S10" s="136">
        <v>52.000000000000099</v>
      </c>
      <c r="T10" s="136">
        <v>56.000000000000107</v>
      </c>
      <c r="U10" s="136">
        <v>56.000000000000107</v>
      </c>
      <c r="V10" s="136">
        <v>48.000000000000092</v>
      </c>
      <c r="W10" s="137">
        <v>48.000000000000092</v>
      </c>
      <c r="X10" s="136">
        <v>0</v>
      </c>
      <c r="Y10" s="136">
        <v>0</v>
      </c>
      <c r="Z10" s="136">
        <v>52.000000000000099</v>
      </c>
      <c r="AA10" s="136">
        <v>56.000000000000107</v>
      </c>
      <c r="AB10" s="136">
        <v>52.000000000000099</v>
      </c>
      <c r="AC10" s="136">
        <v>56.000000000000107</v>
      </c>
      <c r="AD10" s="136">
        <v>56.000000000000107</v>
      </c>
      <c r="AE10" s="136">
        <v>0</v>
      </c>
      <c r="AF10" s="136">
        <v>0</v>
      </c>
      <c r="AG10" s="136">
        <v>44.000000000000085</v>
      </c>
      <c r="AH10" s="136">
        <v>56.000000000000107</v>
      </c>
      <c r="AI10" s="136">
        <v>56.000000000000107</v>
      </c>
      <c r="AJ10" s="136">
        <v>56.000000000000107</v>
      </c>
      <c r="AK10" s="137">
        <v>52.000000000000099</v>
      </c>
      <c r="AL10" s="138">
        <v>0</v>
      </c>
      <c r="AM10" s="139">
        <v>56.000000000000107</v>
      </c>
      <c r="AN10" s="140"/>
      <c r="AO10" s="105">
        <f t="shared" si="2"/>
        <v>1120.000000000002</v>
      </c>
      <c r="AP10" s="141">
        <v>56.000000000000114</v>
      </c>
      <c r="AQ10" s="141">
        <v>0</v>
      </c>
      <c r="AR10" s="141">
        <v>0</v>
      </c>
      <c r="AS10" s="141">
        <v>0</v>
      </c>
      <c r="AT10" s="141">
        <v>0</v>
      </c>
      <c r="AU10" s="141">
        <v>0</v>
      </c>
      <c r="AV10" s="141">
        <v>280.00000000000057</v>
      </c>
      <c r="AW10" s="141">
        <v>0</v>
      </c>
      <c r="AX10" s="141">
        <v>0</v>
      </c>
      <c r="AY10" s="141">
        <v>0</v>
      </c>
      <c r="AZ10" s="141">
        <v>0</v>
      </c>
      <c r="BA10" s="141">
        <v>0</v>
      </c>
      <c r="BB10" s="142">
        <v>7</v>
      </c>
      <c r="BC10" s="143">
        <f>SUBTOTAL(9,BC11:BC12)</f>
        <v>336.0000000000008</v>
      </c>
      <c r="BD10" s="143">
        <f>SUBTOTAL(9,BD11:BD12)</f>
        <v>0</v>
      </c>
      <c r="BE10" s="143">
        <f>SUBTOTAL(9,BE11:BE12)</f>
        <v>0</v>
      </c>
      <c r="BF10" s="141">
        <v>0</v>
      </c>
      <c r="BG10" s="141">
        <v>0</v>
      </c>
      <c r="BH10" s="141">
        <v>0</v>
      </c>
      <c r="BI10" s="141">
        <v>0</v>
      </c>
      <c r="BJ10" s="141">
        <v>0</v>
      </c>
      <c r="BK10" s="141">
        <v>0</v>
      </c>
      <c r="BL10" s="144">
        <f>SUBTOTAL(9,BL11:BL12)</f>
        <v>0</v>
      </c>
      <c r="BM10" s="144">
        <f>SUBTOTAL(9,BM11:BM12)</f>
        <v>0</v>
      </c>
      <c r="BN10" s="145"/>
      <c r="BO10" s="111"/>
    </row>
    <row r="11" spans="1:67" s="133" customFormat="1">
      <c r="A11" s="113">
        <v>37</v>
      </c>
      <c r="B11" s="114">
        <v>30</v>
      </c>
      <c r="C11" s="115">
        <v>30</v>
      </c>
      <c r="D11" s="116" t="s">
        <v>121</v>
      </c>
      <c r="E11" s="134" t="s">
        <v>122</v>
      </c>
      <c r="F11" s="117" t="s">
        <v>123</v>
      </c>
      <c r="G11" s="118">
        <v>40074</v>
      </c>
      <c r="H11" s="119" t="s">
        <v>114</v>
      </c>
      <c r="I11" s="120" t="s">
        <v>115</v>
      </c>
      <c r="J11" s="121"/>
      <c r="K11" s="121"/>
      <c r="L11" s="121">
        <v>8.000000000000016</v>
      </c>
      <c r="M11" s="121">
        <v>8.000000000000016</v>
      </c>
      <c r="N11" s="121">
        <v>8.000000000000016</v>
      </c>
      <c r="O11" s="121">
        <v>8.000000000000016</v>
      </c>
      <c r="P11" s="121">
        <v>8.000000000000016</v>
      </c>
      <c r="Q11" s="121"/>
      <c r="R11" s="121"/>
      <c r="S11" s="121">
        <v>8.000000000000016</v>
      </c>
      <c r="T11" s="121">
        <v>8.000000000000016</v>
      </c>
      <c r="U11" s="121">
        <v>8.000000000000016</v>
      </c>
      <c r="V11" s="121">
        <v>8.000000000000016</v>
      </c>
      <c r="W11" s="122">
        <v>8.000000000000016</v>
      </c>
      <c r="X11" s="121"/>
      <c r="Y11" s="121"/>
      <c r="Z11" s="121">
        <v>8.000000000000016</v>
      </c>
      <c r="AA11" s="121">
        <v>8.000000000000016</v>
      </c>
      <c r="AB11" s="121">
        <v>8.000000000000016</v>
      </c>
      <c r="AC11" s="121">
        <v>8.000000000000016</v>
      </c>
      <c r="AD11" s="121">
        <v>8.000000000000016</v>
      </c>
      <c r="AE11" s="121"/>
      <c r="AF11" s="121"/>
      <c r="AG11" s="121">
        <v>8.000000000000016</v>
      </c>
      <c r="AH11" s="121">
        <v>8.000000000000016</v>
      </c>
      <c r="AI11" s="121">
        <v>8.000000000000016</v>
      </c>
      <c r="AJ11" s="121">
        <v>8.000000000000016</v>
      </c>
      <c r="AK11" s="122">
        <v>8.000000000000016</v>
      </c>
      <c r="AL11" s="123"/>
      <c r="AM11" s="124">
        <v>8.000000000000016</v>
      </c>
      <c r="AN11" s="125"/>
      <c r="AO11" s="126">
        <f t="shared" si="2"/>
        <v>168.0000000000004</v>
      </c>
      <c r="AP11" s="127"/>
      <c r="AQ11" s="127"/>
      <c r="AR11" s="127"/>
      <c r="AS11" s="127"/>
      <c r="AT11" s="127"/>
      <c r="AU11" s="127"/>
      <c r="AV11" s="127">
        <v>40.000000000000078</v>
      </c>
      <c r="AW11" s="127"/>
      <c r="AX11" s="127"/>
      <c r="AY11" s="127"/>
      <c r="AZ11" s="127"/>
      <c r="BA11" s="127"/>
      <c r="BB11" s="128">
        <v>1</v>
      </c>
      <c r="BC11" s="129">
        <f t="shared" ref="BC11:BC12" si="8">SUM(AO11:AS11)</f>
        <v>168.0000000000004</v>
      </c>
      <c r="BD11" s="129">
        <f t="shared" ref="BD11:BD12" si="9">SUM(AT11:AU11)</f>
        <v>0</v>
      </c>
      <c r="BE11" s="129">
        <f t="shared" ref="BE11:BE12" si="10">SUM(AX11:BA11)</f>
        <v>0</v>
      </c>
      <c r="BF11" s="127"/>
      <c r="BG11" s="127"/>
      <c r="BH11" s="127"/>
      <c r="BI11" s="127"/>
      <c r="BJ11" s="127"/>
      <c r="BK11" s="127"/>
      <c r="BL11" s="130">
        <f t="shared" ref="BL11:BL12" si="11">SUM(BF11:BK11)</f>
        <v>0</v>
      </c>
      <c r="BM11" s="130">
        <f t="shared" ref="BM11:BM12" si="12">BF11*1.5 +BG11*1.95 +BH11*2 +BI11*2.6 +BJ11*3 +BK11*3.9</f>
        <v>0</v>
      </c>
      <c r="BN11" s="131"/>
      <c r="BO11" s="132"/>
    </row>
    <row r="12" spans="1:67" s="133" customFormat="1">
      <c r="A12" s="113">
        <v>37</v>
      </c>
      <c r="B12" s="114">
        <v>31</v>
      </c>
      <c r="C12" s="115">
        <v>31</v>
      </c>
      <c r="D12" s="116" t="s">
        <v>124</v>
      </c>
      <c r="E12" s="134" t="s">
        <v>125</v>
      </c>
      <c r="F12" s="117" t="s">
        <v>123</v>
      </c>
      <c r="G12" s="118">
        <v>39979</v>
      </c>
      <c r="H12" s="119" t="s">
        <v>114</v>
      </c>
      <c r="I12" s="120" t="s">
        <v>115</v>
      </c>
      <c r="J12" s="121"/>
      <c r="K12" s="121"/>
      <c r="L12" s="121">
        <v>8.000000000000016</v>
      </c>
      <c r="M12" s="121">
        <v>8.000000000000016</v>
      </c>
      <c r="N12" s="121">
        <v>8.000000000000016</v>
      </c>
      <c r="O12" s="121">
        <v>8.000000000000016</v>
      </c>
      <c r="P12" s="121">
        <v>8.000000000000016</v>
      </c>
      <c r="Q12" s="121"/>
      <c r="R12" s="121"/>
      <c r="S12" s="121">
        <v>8.000000000000016</v>
      </c>
      <c r="T12" s="121">
        <v>8.000000000000016</v>
      </c>
      <c r="U12" s="121">
        <v>8.000000000000016</v>
      </c>
      <c r="V12" s="121">
        <v>8.000000000000016</v>
      </c>
      <c r="W12" s="122"/>
      <c r="X12" s="121"/>
      <c r="Y12" s="121"/>
      <c r="Z12" s="121">
        <v>8.000000000000016</v>
      </c>
      <c r="AA12" s="121">
        <v>8.000000000000016</v>
      </c>
      <c r="AB12" s="121">
        <v>8.000000000000016</v>
      </c>
      <c r="AC12" s="121">
        <v>8.000000000000016</v>
      </c>
      <c r="AD12" s="121">
        <v>8.000000000000016</v>
      </c>
      <c r="AE12" s="121"/>
      <c r="AF12" s="121"/>
      <c r="AG12" s="121">
        <v>8.000000000000016</v>
      </c>
      <c r="AH12" s="121">
        <v>8.000000000000016</v>
      </c>
      <c r="AI12" s="121">
        <v>8.000000000000016</v>
      </c>
      <c r="AJ12" s="121">
        <v>8.000000000000016</v>
      </c>
      <c r="AK12" s="122">
        <v>8.000000000000016</v>
      </c>
      <c r="AL12" s="123"/>
      <c r="AM12" s="124">
        <v>8.000000000000016</v>
      </c>
      <c r="AN12" s="125"/>
      <c r="AO12" s="126">
        <f t="shared" ref="AO12:AO17" si="13">SUM(J12:AN12)</f>
        <v>160.00000000000037</v>
      </c>
      <c r="AP12" s="127">
        <v>8.000000000000016</v>
      </c>
      <c r="AQ12" s="127"/>
      <c r="AR12" s="127"/>
      <c r="AS12" s="127"/>
      <c r="AT12" s="127"/>
      <c r="AU12" s="127"/>
      <c r="AV12" s="127">
        <v>40.000000000000078</v>
      </c>
      <c r="AW12" s="127"/>
      <c r="AX12" s="127"/>
      <c r="AY12" s="127"/>
      <c r="AZ12" s="127"/>
      <c r="BA12" s="127"/>
      <c r="BB12" s="128">
        <v>1</v>
      </c>
      <c r="BC12" s="129">
        <f t="shared" si="8"/>
        <v>168.0000000000004</v>
      </c>
      <c r="BD12" s="129">
        <f t="shared" si="9"/>
        <v>0</v>
      </c>
      <c r="BE12" s="129">
        <f t="shared" si="10"/>
        <v>0</v>
      </c>
      <c r="BF12" s="127"/>
      <c r="BG12" s="127"/>
      <c r="BH12" s="127"/>
      <c r="BI12" s="127"/>
      <c r="BJ12" s="127"/>
      <c r="BK12" s="127"/>
      <c r="BL12" s="130">
        <f t="shared" si="11"/>
        <v>0</v>
      </c>
      <c r="BM12" s="130">
        <f t="shared" si="12"/>
        <v>0</v>
      </c>
      <c r="BN12" s="131"/>
      <c r="BO12" s="132"/>
    </row>
    <row r="13" spans="1:67" s="112" customFormat="1" ht="24" customHeight="1">
      <c r="A13" s="99">
        <v>0</v>
      </c>
      <c r="B13" s="221" t="s">
        <v>126</v>
      </c>
      <c r="C13" s="227"/>
      <c r="D13" s="222"/>
      <c r="E13" s="222"/>
      <c r="F13" s="222"/>
      <c r="G13" s="228"/>
      <c r="H13" s="225" t="s">
        <v>109</v>
      </c>
      <c r="I13" s="226"/>
      <c r="J13" s="136">
        <v>48.000000000000092</v>
      </c>
      <c r="K13" s="136">
        <v>16.000000000000032</v>
      </c>
      <c r="L13" s="136">
        <v>176.00000000000043</v>
      </c>
      <c r="M13" s="136">
        <v>180.00000000000043</v>
      </c>
      <c r="N13" s="136">
        <v>184.00000000000045</v>
      </c>
      <c r="O13" s="136">
        <v>184.00000000000045</v>
      </c>
      <c r="P13" s="136">
        <v>184.00000000000045</v>
      </c>
      <c r="Q13" s="136">
        <v>40.000000000000078</v>
      </c>
      <c r="R13" s="136">
        <v>16.000000000000032</v>
      </c>
      <c r="S13" s="136">
        <v>184.00000000000045</v>
      </c>
      <c r="T13" s="136">
        <v>184.00000000000045</v>
      </c>
      <c r="U13" s="136">
        <v>176.00000000000043</v>
      </c>
      <c r="V13" s="136">
        <v>176.00000000000043</v>
      </c>
      <c r="W13" s="137">
        <v>176.00000000000043</v>
      </c>
      <c r="X13" s="136">
        <v>48.000000000000092</v>
      </c>
      <c r="Y13" s="136">
        <v>16.000000000000032</v>
      </c>
      <c r="Z13" s="136">
        <v>176.00000000000043</v>
      </c>
      <c r="AA13" s="136">
        <v>184.00000000000045</v>
      </c>
      <c r="AB13" s="136">
        <v>172.0000000000004</v>
      </c>
      <c r="AC13" s="136">
        <v>184.00000000000045</v>
      </c>
      <c r="AD13" s="136">
        <v>168.0000000000004</v>
      </c>
      <c r="AE13" s="136">
        <v>16.000000000000032</v>
      </c>
      <c r="AF13" s="136">
        <v>8.000000000000016</v>
      </c>
      <c r="AG13" s="136">
        <v>184.00000000000045</v>
      </c>
      <c r="AH13" s="136">
        <v>180.00000000000043</v>
      </c>
      <c r="AI13" s="136">
        <v>152.00000000000034</v>
      </c>
      <c r="AJ13" s="136">
        <v>176.00000000000043</v>
      </c>
      <c r="AK13" s="137">
        <v>175.95000000000041</v>
      </c>
      <c r="AL13" s="138">
        <v>56.000000000000107</v>
      </c>
      <c r="AM13" s="139">
        <v>176.00000000000043</v>
      </c>
      <c r="AN13" s="140"/>
      <c r="AO13" s="105">
        <f t="shared" si="13"/>
        <v>3995.9500000000094</v>
      </c>
      <c r="AP13" s="141">
        <v>116.00000000000024</v>
      </c>
      <c r="AQ13" s="141">
        <v>0</v>
      </c>
      <c r="AR13" s="141">
        <v>0</v>
      </c>
      <c r="AS13" s="141">
        <v>0</v>
      </c>
      <c r="AT13" s="141">
        <v>0</v>
      </c>
      <c r="AU13" s="141">
        <v>0</v>
      </c>
      <c r="AV13" s="141">
        <v>624.00000000000125</v>
      </c>
      <c r="AW13" s="141">
        <v>0</v>
      </c>
      <c r="AX13" s="141">
        <v>16.000000000000032</v>
      </c>
      <c r="AY13" s="141">
        <v>0.05</v>
      </c>
      <c r="AZ13" s="141">
        <v>0</v>
      </c>
      <c r="BA13" s="141">
        <v>8</v>
      </c>
      <c r="BB13" s="142">
        <v>23</v>
      </c>
      <c r="BC13" s="143">
        <f>SUBTOTAL(9,BC14:BC15)</f>
        <v>352.00000000000085</v>
      </c>
      <c r="BD13" s="143">
        <f>SUBTOTAL(9,BD14:BD15)</f>
        <v>0</v>
      </c>
      <c r="BE13" s="143">
        <f>SUBTOTAL(9,BE14:BE15)</f>
        <v>0</v>
      </c>
      <c r="BF13" s="141">
        <v>467.8</v>
      </c>
      <c r="BG13" s="141">
        <v>38</v>
      </c>
      <c r="BH13" s="141">
        <v>25.366666666666667</v>
      </c>
      <c r="BI13" s="141">
        <v>71</v>
      </c>
      <c r="BJ13" s="141">
        <v>27</v>
      </c>
      <c r="BK13" s="141">
        <v>2.5</v>
      </c>
      <c r="BL13" s="144">
        <f>SUBTOTAL(9,BL14:BL15)</f>
        <v>57.866666666666667</v>
      </c>
      <c r="BM13" s="144">
        <f>SUBTOTAL(9,BM14:BM15)</f>
        <v>89.95</v>
      </c>
      <c r="BN13" s="145"/>
      <c r="BO13" s="111"/>
    </row>
    <row r="14" spans="1:67" s="133" customFormat="1">
      <c r="A14" s="113">
        <v>45</v>
      </c>
      <c r="B14" s="114">
        <v>37</v>
      </c>
      <c r="C14" s="115">
        <v>37</v>
      </c>
      <c r="D14" s="116" t="s">
        <v>127</v>
      </c>
      <c r="E14" s="134" t="s">
        <v>128</v>
      </c>
      <c r="F14" s="117" t="s">
        <v>129</v>
      </c>
      <c r="G14" s="135"/>
      <c r="H14" s="119" t="s">
        <v>114</v>
      </c>
      <c r="I14" s="120" t="s">
        <v>115</v>
      </c>
      <c r="J14" s="121"/>
      <c r="K14" s="121"/>
      <c r="L14" s="121">
        <v>8.000000000000016</v>
      </c>
      <c r="M14" s="121">
        <v>8.000000000000016</v>
      </c>
      <c r="N14" s="121">
        <v>8.000000000000016</v>
      </c>
      <c r="O14" s="121">
        <v>8.000000000000016</v>
      </c>
      <c r="P14" s="121">
        <v>8.000000000000016</v>
      </c>
      <c r="Q14" s="121"/>
      <c r="R14" s="121"/>
      <c r="S14" s="121">
        <v>8.000000000000016</v>
      </c>
      <c r="T14" s="121">
        <v>8.000000000000016</v>
      </c>
      <c r="U14" s="121">
        <v>8.000000000000016</v>
      </c>
      <c r="V14" s="121">
        <v>8.000000000000016</v>
      </c>
      <c r="W14" s="122">
        <v>8.000000000000016</v>
      </c>
      <c r="X14" s="121"/>
      <c r="Y14" s="121"/>
      <c r="Z14" s="121">
        <v>8.000000000000016</v>
      </c>
      <c r="AA14" s="121">
        <v>8.000000000000016</v>
      </c>
      <c r="AB14" s="121">
        <v>8.000000000000016</v>
      </c>
      <c r="AC14" s="121">
        <v>8.000000000000016</v>
      </c>
      <c r="AD14" s="121">
        <v>8.000000000000016</v>
      </c>
      <c r="AE14" s="121">
        <v>8.000000000000016</v>
      </c>
      <c r="AF14" s="121"/>
      <c r="AG14" s="121">
        <v>8.000000000000016</v>
      </c>
      <c r="AH14" s="121">
        <v>8.000000000000016</v>
      </c>
      <c r="AI14" s="121">
        <v>8.000000000000016</v>
      </c>
      <c r="AJ14" s="121">
        <v>8.000000000000016</v>
      </c>
      <c r="AK14" s="122">
        <v>8.000000000000016</v>
      </c>
      <c r="AL14" s="123">
        <v>8.000000000000016</v>
      </c>
      <c r="AM14" s="124">
        <v>8.000000000000016</v>
      </c>
      <c r="AN14" s="125"/>
      <c r="AO14" s="126">
        <f t="shared" si="13"/>
        <v>184.00000000000045</v>
      </c>
      <c r="AP14" s="127"/>
      <c r="AQ14" s="127"/>
      <c r="AR14" s="127"/>
      <c r="AS14" s="127"/>
      <c r="AT14" s="127"/>
      <c r="AU14" s="127"/>
      <c r="AV14" s="127">
        <v>24.00000000000005</v>
      </c>
      <c r="AW14" s="127"/>
      <c r="AX14" s="127"/>
      <c r="AY14" s="127"/>
      <c r="AZ14" s="127"/>
      <c r="BA14" s="127"/>
      <c r="BB14" s="128">
        <v>1</v>
      </c>
      <c r="BC14" s="129">
        <f t="shared" ref="BC14:BC15" si="14">SUM(AO14:AS14)</f>
        <v>184.00000000000045</v>
      </c>
      <c r="BD14" s="129">
        <f t="shared" ref="BD14:BD15" si="15">SUM(AT14:AU14)</f>
        <v>0</v>
      </c>
      <c r="BE14" s="129">
        <f t="shared" ref="BE14:BE15" si="16">SUM(AX14:BA14)</f>
        <v>0</v>
      </c>
      <c r="BF14" s="127"/>
      <c r="BG14" s="127"/>
      <c r="BH14" s="127"/>
      <c r="BI14" s="127"/>
      <c r="BJ14" s="127"/>
      <c r="BK14" s="127"/>
      <c r="BL14" s="130">
        <f t="shared" ref="BL14:BL15" si="17">SUM(BF14:BK14)</f>
        <v>0</v>
      </c>
      <c r="BM14" s="130">
        <f t="shared" ref="BM14:BM15" si="18">BF14*1.5 +BG14*1.95 +BH14*2 +BI14*2.6 +BJ14*3 +BK14*3.9</f>
        <v>0</v>
      </c>
      <c r="BN14" s="131"/>
      <c r="BO14" s="132"/>
    </row>
    <row r="15" spans="1:67" s="133" customFormat="1">
      <c r="A15" s="113">
        <v>45</v>
      </c>
      <c r="B15" s="114">
        <v>38</v>
      </c>
      <c r="C15" s="115">
        <v>38</v>
      </c>
      <c r="D15" s="116" t="s">
        <v>130</v>
      </c>
      <c r="E15" s="134" t="s">
        <v>131</v>
      </c>
      <c r="F15" s="117" t="s">
        <v>132</v>
      </c>
      <c r="G15" s="118">
        <v>39722</v>
      </c>
      <c r="H15" s="119" t="s">
        <v>114</v>
      </c>
      <c r="I15" s="120" t="s">
        <v>115</v>
      </c>
      <c r="J15" s="121"/>
      <c r="K15" s="121"/>
      <c r="L15" s="121">
        <v>8.000000000000016</v>
      </c>
      <c r="M15" s="121">
        <v>8.000000000000016</v>
      </c>
      <c r="N15" s="121">
        <v>8.000000000000016</v>
      </c>
      <c r="O15" s="121">
        <v>8.000000000000016</v>
      </c>
      <c r="P15" s="121">
        <v>8.000000000000016</v>
      </c>
      <c r="Q15" s="121"/>
      <c r="R15" s="121"/>
      <c r="S15" s="121">
        <v>8.000000000000016</v>
      </c>
      <c r="T15" s="121">
        <v>8.000000000000016</v>
      </c>
      <c r="U15" s="121">
        <v>8.000000000000016</v>
      </c>
      <c r="V15" s="121">
        <v>8.000000000000016</v>
      </c>
      <c r="W15" s="122">
        <v>8.000000000000016</v>
      </c>
      <c r="X15" s="121"/>
      <c r="Y15" s="121"/>
      <c r="Z15" s="121">
        <v>8.000000000000016</v>
      </c>
      <c r="AA15" s="121">
        <v>8.000000000000016</v>
      </c>
      <c r="AB15" s="121">
        <v>8.000000000000016</v>
      </c>
      <c r="AC15" s="121">
        <v>8.000000000000016</v>
      </c>
      <c r="AD15" s="121"/>
      <c r="AE15" s="121"/>
      <c r="AF15" s="121"/>
      <c r="AG15" s="121">
        <v>8.000000000000016</v>
      </c>
      <c r="AH15" s="121">
        <v>8.000000000000016</v>
      </c>
      <c r="AI15" s="121">
        <v>8.000000000000016</v>
      </c>
      <c r="AJ15" s="121">
        <v>8.000000000000016</v>
      </c>
      <c r="AK15" s="122">
        <v>8.000000000000016</v>
      </c>
      <c r="AL15" s="123"/>
      <c r="AM15" s="124">
        <v>8.000000000000016</v>
      </c>
      <c r="AN15" s="125"/>
      <c r="AO15" s="126">
        <f t="shared" si="13"/>
        <v>160.00000000000037</v>
      </c>
      <c r="AP15" s="127">
        <v>8.000000000000016</v>
      </c>
      <c r="AQ15" s="127"/>
      <c r="AR15" s="127"/>
      <c r="AS15" s="127"/>
      <c r="AT15" s="127"/>
      <c r="AU15" s="127"/>
      <c r="AV15" s="127">
        <v>40.000000000000078</v>
      </c>
      <c r="AW15" s="127"/>
      <c r="AX15" s="127"/>
      <c r="AY15" s="127"/>
      <c r="AZ15" s="127"/>
      <c r="BA15" s="127"/>
      <c r="BB15" s="128">
        <v>1</v>
      </c>
      <c r="BC15" s="129">
        <f t="shared" si="14"/>
        <v>168.0000000000004</v>
      </c>
      <c r="BD15" s="129">
        <f t="shared" si="15"/>
        <v>0</v>
      </c>
      <c r="BE15" s="129">
        <f t="shared" si="16"/>
        <v>0</v>
      </c>
      <c r="BF15" s="127">
        <v>50.866666666666667</v>
      </c>
      <c r="BG15" s="127">
        <v>7</v>
      </c>
      <c r="BH15" s="127"/>
      <c r="BI15" s="127"/>
      <c r="BJ15" s="127"/>
      <c r="BK15" s="127"/>
      <c r="BL15" s="130">
        <f t="shared" si="17"/>
        <v>57.866666666666667</v>
      </c>
      <c r="BM15" s="130">
        <f t="shared" si="18"/>
        <v>89.95</v>
      </c>
      <c r="BN15" s="131"/>
      <c r="BO15" s="132"/>
    </row>
    <row r="16" spans="1:67" s="112" customFormat="1" ht="24" customHeight="1">
      <c r="A16" s="99">
        <v>0</v>
      </c>
      <c r="B16" s="221" t="s">
        <v>133</v>
      </c>
      <c r="C16" s="227"/>
      <c r="D16" s="227"/>
      <c r="E16" s="227"/>
      <c r="F16" s="227"/>
      <c r="G16" s="228"/>
      <c r="H16" s="225" t="s">
        <v>109</v>
      </c>
      <c r="I16" s="226"/>
      <c r="J16" s="136">
        <v>0</v>
      </c>
      <c r="K16" s="136">
        <v>0</v>
      </c>
      <c r="L16" s="136">
        <v>0</v>
      </c>
      <c r="M16" s="136">
        <v>0</v>
      </c>
      <c r="N16" s="136">
        <v>0</v>
      </c>
      <c r="O16" s="136">
        <v>0</v>
      </c>
      <c r="P16" s="136">
        <v>0</v>
      </c>
      <c r="Q16" s="136">
        <v>0</v>
      </c>
      <c r="R16" s="136">
        <v>0</v>
      </c>
      <c r="S16" s="136">
        <v>0</v>
      </c>
      <c r="T16" s="136">
        <v>0</v>
      </c>
      <c r="U16" s="136">
        <v>0</v>
      </c>
      <c r="V16" s="136">
        <v>0</v>
      </c>
      <c r="W16" s="137">
        <v>0</v>
      </c>
      <c r="X16" s="136">
        <v>0</v>
      </c>
      <c r="Y16" s="136">
        <v>0</v>
      </c>
      <c r="Z16" s="136">
        <v>0</v>
      </c>
      <c r="AA16" s="136">
        <v>0</v>
      </c>
      <c r="AB16" s="136">
        <v>0</v>
      </c>
      <c r="AC16" s="136">
        <v>0</v>
      </c>
      <c r="AD16" s="136">
        <v>0</v>
      </c>
      <c r="AE16" s="136">
        <v>0</v>
      </c>
      <c r="AF16" s="136">
        <v>0</v>
      </c>
      <c r="AG16" s="136">
        <v>0</v>
      </c>
      <c r="AH16" s="136">
        <v>0</v>
      </c>
      <c r="AI16" s="136">
        <v>0</v>
      </c>
      <c r="AJ16" s="136">
        <v>0</v>
      </c>
      <c r="AK16" s="137">
        <v>0</v>
      </c>
      <c r="AL16" s="138">
        <v>0</v>
      </c>
      <c r="AM16" s="139">
        <v>0</v>
      </c>
      <c r="AN16" s="140"/>
      <c r="AO16" s="105">
        <f t="shared" si="13"/>
        <v>0</v>
      </c>
      <c r="AP16" s="141">
        <v>0</v>
      </c>
      <c r="AQ16" s="141">
        <v>8.000000000000016</v>
      </c>
      <c r="AR16" s="141">
        <v>8.000000000000016</v>
      </c>
      <c r="AS16" s="141">
        <v>8.000000000000016</v>
      </c>
      <c r="AT16" s="141">
        <v>0</v>
      </c>
      <c r="AU16" s="141">
        <v>8.000000000000016</v>
      </c>
      <c r="AV16" s="141">
        <v>0</v>
      </c>
      <c r="AW16" s="141">
        <v>0</v>
      </c>
      <c r="AX16" s="141">
        <v>0</v>
      </c>
      <c r="AY16" s="141">
        <v>0</v>
      </c>
      <c r="AZ16" s="141">
        <v>0</v>
      </c>
      <c r="BA16" s="141">
        <v>120</v>
      </c>
      <c r="BB16" s="142">
        <v>1</v>
      </c>
      <c r="BC16" s="143">
        <f>SUBTOTAL(9,BC17)</f>
        <v>24.00000000000005</v>
      </c>
      <c r="BD16" s="143">
        <f>SUBTOTAL(9,BD17)</f>
        <v>8.000000000000016</v>
      </c>
      <c r="BE16" s="143">
        <f>SUBTOTAL(9,BE17)</f>
        <v>120</v>
      </c>
      <c r="BF16" s="141">
        <v>0</v>
      </c>
      <c r="BG16" s="141">
        <v>0</v>
      </c>
      <c r="BH16" s="141">
        <v>0</v>
      </c>
      <c r="BI16" s="141">
        <v>0</v>
      </c>
      <c r="BJ16" s="141">
        <v>0</v>
      </c>
      <c r="BK16" s="141">
        <v>0</v>
      </c>
      <c r="BL16" s="144">
        <f>SUBTOTAL(9,BL17)</f>
        <v>0</v>
      </c>
      <c r="BM16" s="144">
        <f>SUBTOTAL(9,BM17)</f>
        <v>0</v>
      </c>
      <c r="BN16" s="145"/>
      <c r="BO16" s="111"/>
    </row>
    <row r="17" spans="1:67" s="133" customFormat="1">
      <c r="A17" s="113">
        <v>69</v>
      </c>
      <c r="B17" s="114">
        <v>60</v>
      </c>
      <c r="C17" s="115">
        <v>60</v>
      </c>
      <c r="D17" s="115" t="s">
        <v>134</v>
      </c>
      <c r="E17" s="146" t="s">
        <v>135</v>
      </c>
      <c r="F17" s="135" t="s">
        <v>116</v>
      </c>
      <c r="G17" s="118">
        <v>43771</v>
      </c>
      <c r="H17" s="119" t="s">
        <v>114</v>
      </c>
      <c r="I17" s="120" t="s">
        <v>115</v>
      </c>
      <c r="J17" s="121" t="s">
        <v>117</v>
      </c>
      <c r="K17" s="121" t="s">
        <v>117</v>
      </c>
      <c r="L17" s="121" t="s">
        <v>117</v>
      </c>
      <c r="M17" s="121" t="s">
        <v>117</v>
      </c>
      <c r="N17" s="121" t="s">
        <v>117</v>
      </c>
      <c r="O17" s="121" t="s">
        <v>117</v>
      </c>
      <c r="P17" s="121" t="s">
        <v>117</v>
      </c>
      <c r="Q17" s="121"/>
      <c r="R17" s="121"/>
      <c r="S17" s="121"/>
      <c r="T17" s="121"/>
      <c r="U17" s="121"/>
      <c r="V17" s="121"/>
      <c r="W17" s="122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2"/>
      <c r="AL17" s="123"/>
      <c r="AM17" s="124"/>
      <c r="AN17" s="125"/>
      <c r="AO17" s="126">
        <f t="shared" si="13"/>
        <v>0</v>
      </c>
      <c r="AP17" s="127"/>
      <c r="AQ17" s="127">
        <v>8.000000000000016</v>
      </c>
      <c r="AR17" s="127">
        <v>8.000000000000016</v>
      </c>
      <c r="AS17" s="127">
        <v>8.000000000000016</v>
      </c>
      <c r="AT17" s="127"/>
      <c r="AU17" s="127">
        <v>8.000000000000016</v>
      </c>
      <c r="AV17" s="127"/>
      <c r="AW17" s="127"/>
      <c r="AX17" s="127"/>
      <c r="AY17" s="127"/>
      <c r="AZ17" s="127"/>
      <c r="BA17" s="127">
        <v>120</v>
      </c>
      <c r="BB17" s="128">
        <v>1</v>
      </c>
      <c r="BC17" s="129">
        <f>SUM(AO17:AS17)</f>
        <v>24.00000000000005</v>
      </c>
      <c r="BD17" s="129">
        <f>SUM(AT17:AU17)</f>
        <v>8.000000000000016</v>
      </c>
      <c r="BE17" s="129">
        <f>SUM(AX17:BA17)</f>
        <v>120</v>
      </c>
      <c r="BF17" s="127"/>
      <c r="BG17" s="127"/>
      <c r="BH17" s="127"/>
      <c r="BI17" s="127"/>
      <c r="BJ17" s="127"/>
      <c r="BK17" s="127"/>
      <c r="BL17" s="130">
        <f>SUM(BF17:BK17)</f>
        <v>0</v>
      </c>
      <c r="BM17" s="130">
        <f>BF17*1.5 +BG17*1.95 +BH17*2 +BI17*2.6 +BJ17*3 +BK17*3.9</f>
        <v>0</v>
      </c>
      <c r="BN17" s="131"/>
      <c r="BO17" s="132"/>
    </row>
    <row r="18" spans="1:67" s="112" customFormat="1" ht="24" customHeight="1">
      <c r="A18" s="99">
        <v>0</v>
      </c>
      <c r="B18" s="221" t="s">
        <v>136</v>
      </c>
      <c r="C18" s="229"/>
      <c r="D18" s="229"/>
      <c r="E18" s="229"/>
      <c r="F18" s="229"/>
      <c r="G18" s="230"/>
      <c r="H18" s="225" t="s">
        <v>109</v>
      </c>
      <c r="I18" s="226"/>
      <c r="J18" s="136">
        <v>8.000000000000016</v>
      </c>
      <c r="K18" s="136">
        <v>0</v>
      </c>
      <c r="L18" s="136">
        <v>48.000000000000092</v>
      </c>
      <c r="M18" s="136">
        <v>48.000000000000092</v>
      </c>
      <c r="N18" s="136">
        <v>48.000000000000092</v>
      </c>
      <c r="O18" s="136">
        <v>44.000000000000085</v>
      </c>
      <c r="P18" s="136">
        <v>48.000000000000092</v>
      </c>
      <c r="Q18" s="136">
        <v>8.000000000000016</v>
      </c>
      <c r="R18" s="136">
        <v>0</v>
      </c>
      <c r="S18" s="136">
        <v>40.000000000000078</v>
      </c>
      <c r="T18" s="136">
        <v>40.000000000000078</v>
      </c>
      <c r="U18" s="136">
        <v>48.000000000000092</v>
      </c>
      <c r="V18" s="136">
        <v>48.000000000000092</v>
      </c>
      <c r="W18" s="137">
        <v>48.000000000000092</v>
      </c>
      <c r="X18" s="136">
        <v>24.00000000000005</v>
      </c>
      <c r="Y18" s="136">
        <v>0</v>
      </c>
      <c r="Z18" s="136">
        <v>40.000000000000078</v>
      </c>
      <c r="AA18" s="136">
        <v>40.000000000000078</v>
      </c>
      <c r="AB18" s="136">
        <v>48.000000000000092</v>
      </c>
      <c r="AC18" s="136">
        <v>44.000000000000085</v>
      </c>
      <c r="AD18" s="136">
        <v>48.000000000000092</v>
      </c>
      <c r="AE18" s="136">
        <v>8.000000000000016</v>
      </c>
      <c r="AF18" s="136">
        <v>0</v>
      </c>
      <c r="AG18" s="136">
        <v>40.000000000000078</v>
      </c>
      <c r="AH18" s="136">
        <v>48.000000000000092</v>
      </c>
      <c r="AI18" s="136">
        <v>48.000000000000092</v>
      </c>
      <c r="AJ18" s="136">
        <v>48.000000000000092</v>
      </c>
      <c r="AK18" s="137">
        <v>40.000000000000078</v>
      </c>
      <c r="AL18" s="138">
        <v>8.000000000000016</v>
      </c>
      <c r="AM18" s="139">
        <v>48.000000000000092</v>
      </c>
      <c r="AN18" s="140"/>
      <c r="AO18" s="105">
        <f t="shared" ref="AO18:AO27" si="19">SUM(J18:AN18)</f>
        <v>1008.0000000000023</v>
      </c>
      <c r="AP18" s="141">
        <v>52.000000000000107</v>
      </c>
      <c r="AQ18" s="141">
        <v>0</v>
      </c>
      <c r="AR18" s="141">
        <v>0</v>
      </c>
      <c r="AS18" s="141">
        <v>0</v>
      </c>
      <c r="AT18" s="141">
        <v>0</v>
      </c>
      <c r="AU18" s="141">
        <v>0</v>
      </c>
      <c r="AV18" s="141">
        <v>184.00000000000037</v>
      </c>
      <c r="AW18" s="141">
        <v>0</v>
      </c>
      <c r="AX18" s="141">
        <v>4.000000000000008</v>
      </c>
      <c r="AY18" s="141">
        <v>0</v>
      </c>
      <c r="AZ18" s="141">
        <v>0</v>
      </c>
      <c r="BA18" s="141">
        <v>0</v>
      </c>
      <c r="BB18" s="142">
        <v>6</v>
      </c>
      <c r="BC18" s="143">
        <f>SUBTOTAL(9,BC19:BC24)</f>
        <v>1060.0000000000023</v>
      </c>
      <c r="BD18" s="143">
        <f>SUBTOTAL(9,BD19:BD24)</f>
        <v>0</v>
      </c>
      <c r="BE18" s="143">
        <f>SUBTOTAL(9,BE19:BE24)</f>
        <v>4.000000000000008</v>
      </c>
      <c r="BF18" s="141">
        <v>103</v>
      </c>
      <c r="BG18" s="141">
        <v>24.5</v>
      </c>
      <c r="BH18" s="141">
        <v>26.683333333333334</v>
      </c>
      <c r="BI18" s="141">
        <v>0</v>
      </c>
      <c r="BJ18" s="141">
        <v>8</v>
      </c>
      <c r="BK18" s="141">
        <v>0</v>
      </c>
      <c r="BL18" s="144">
        <f>SUBTOTAL(9,BL19:BL24)</f>
        <v>162.18333333333334</v>
      </c>
      <c r="BM18" s="144">
        <f>SUBTOTAL(9,BM19:BM24)</f>
        <v>279.64166666666665</v>
      </c>
      <c r="BN18" s="145"/>
      <c r="BO18" s="111"/>
    </row>
    <row r="19" spans="1:67" s="133" customFormat="1">
      <c r="A19" s="113">
        <v>71</v>
      </c>
      <c r="B19" s="114">
        <v>61</v>
      </c>
      <c r="C19" s="116">
        <v>61</v>
      </c>
      <c r="D19" s="116" t="s">
        <v>137</v>
      </c>
      <c r="E19" s="134" t="s">
        <v>138</v>
      </c>
      <c r="F19" s="117" t="s">
        <v>139</v>
      </c>
      <c r="G19" s="117"/>
      <c r="H19" s="119" t="s">
        <v>114</v>
      </c>
      <c r="I19" s="120" t="s">
        <v>115</v>
      </c>
      <c r="J19" s="121"/>
      <c r="K19" s="121"/>
      <c r="L19" s="121">
        <v>8.000000000000016</v>
      </c>
      <c r="M19" s="121">
        <v>8.000000000000016</v>
      </c>
      <c r="N19" s="121">
        <v>8.000000000000016</v>
      </c>
      <c r="O19" s="121">
        <v>8.000000000000016</v>
      </c>
      <c r="P19" s="121">
        <v>8.000000000000016</v>
      </c>
      <c r="Q19" s="121"/>
      <c r="R19" s="121"/>
      <c r="S19" s="121">
        <v>8.000000000000016</v>
      </c>
      <c r="T19" s="121">
        <v>8.000000000000016</v>
      </c>
      <c r="U19" s="121">
        <v>8.000000000000016</v>
      </c>
      <c r="V19" s="121">
        <v>8.000000000000016</v>
      </c>
      <c r="W19" s="122">
        <v>8.000000000000016</v>
      </c>
      <c r="X19" s="121">
        <v>8.000000000000016</v>
      </c>
      <c r="Y19" s="121"/>
      <c r="Z19" s="121">
        <v>8.000000000000016</v>
      </c>
      <c r="AA19" s="121"/>
      <c r="AB19" s="121">
        <v>8.000000000000016</v>
      </c>
      <c r="AC19" s="121">
        <v>8.000000000000016</v>
      </c>
      <c r="AD19" s="121">
        <v>8.000000000000016</v>
      </c>
      <c r="AE19" s="121"/>
      <c r="AF19" s="121"/>
      <c r="AG19" s="121"/>
      <c r="AH19" s="121">
        <v>8.000000000000016</v>
      </c>
      <c r="AI19" s="121">
        <v>8.000000000000016</v>
      </c>
      <c r="AJ19" s="121">
        <v>8.000000000000016</v>
      </c>
      <c r="AK19" s="122"/>
      <c r="AL19" s="123"/>
      <c r="AM19" s="124">
        <v>8.000000000000016</v>
      </c>
      <c r="AN19" s="125"/>
      <c r="AO19" s="126">
        <f t="shared" si="19"/>
        <v>152.00000000000034</v>
      </c>
      <c r="AP19" s="127">
        <v>24.00000000000005</v>
      </c>
      <c r="AQ19" s="127"/>
      <c r="AR19" s="127"/>
      <c r="AS19" s="127"/>
      <c r="AT19" s="127"/>
      <c r="AU19" s="127"/>
      <c r="AV19" s="127">
        <v>32.000000000000064</v>
      </c>
      <c r="AW19" s="127"/>
      <c r="AX19" s="127"/>
      <c r="AY19" s="127"/>
      <c r="AZ19" s="127"/>
      <c r="BA19" s="127"/>
      <c r="BB19" s="128">
        <v>1</v>
      </c>
      <c r="BC19" s="129">
        <f t="shared" ref="BC19:BC24" si="20">SUM(AO19:AS19)</f>
        <v>176.0000000000004</v>
      </c>
      <c r="BD19" s="129">
        <f t="shared" ref="BD19:BD24" si="21">SUM(AT19:AU19)</f>
        <v>0</v>
      </c>
      <c r="BE19" s="129">
        <f t="shared" ref="BE19:BE24" si="22">SUM(AX19:BA19)</f>
        <v>0</v>
      </c>
      <c r="BF19" s="127">
        <v>36.5</v>
      </c>
      <c r="BG19" s="127"/>
      <c r="BH19" s="127">
        <v>8.6833333333333336</v>
      </c>
      <c r="BI19" s="127"/>
      <c r="BJ19" s="127">
        <v>3</v>
      </c>
      <c r="BK19" s="127"/>
      <c r="BL19" s="130">
        <f t="shared" ref="BL19:BL24" si="23">SUM(BF19:BK19)</f>
        <v>48.183333333333337</v>
      </c>
      <c r="BM19" s="130">
        <f t="shared" ref="BM19:BM24" si="24">BF19*1.5 +BG19*1.95 +BH19*2 +BI19*2.6 +BJ19*3 +BK19*3.9</f>
        <v>81.116666666666674</v>
      </c>
      <c r="BN19" s="131"/>
      <c r="BO19" s="132"/>
    </row>
    <row r="20" spans="1:67" s="133" customFormat="1">
      <c r="A20" s="113">
        <v>71</v>
      </c>
      <c r="B20" s="114">
        <v>62</v>
      </c>
      <c r="C20" s="116">
        <v>62</v>
      </c>
      <c r="D20" s="116" t="s">
        <v>140</v>
      </c>
      <c r="E20" s="134" t="s">
        <v>141</v>
      </c>
      <c r="F20" s="117" t="s">
        <v>139</v>
      </c>
      <c r="G20" s="147">
        <v>39238</v>
      </c>
      <c r="H20" s="119" t="s">
        <v>114</v>
      </c>
      <c r="I20" s="120" t="s">
        <v>115</v>
      </c>
      <c r="J20" s="121"/>
      <c r="K20" s="121"/>
      <c r="L20" s="121">
        <v>8.000000000000016</v>
      </c>
      <c r="M20" s="121">
        <v>8.000000000000016</v>
      </c>
      <c r="N20" s="121">
        <v>8.000000000000016</v>
      </c>
      <c r="O20" s="121">
        <v>8.000000000000016</v>
      </c>
      <c r="P20" s="121">
        <v>8.000000000000016</v>
      </c>
      <c r="Q20" s="121"/>
      <c r="R20" s="121"/>
      <c r="S20" s="121">
        <v>8.000000000000016</v>
      </c>
      <c r="T20" s="121">
        <v>8.000000000000016</v>
      </c>
      <c r="U20" s="121">
        <v>8.000000000000016</v>
      </c>
      <c r="V20" s="121">
        <v>8.000000000000016</v>
      </c>
      <c r="W20" s="122">
        <v>8.000000000000016</v>
      </c>
      <c r="X20" s="121">
        <v>8.000000000000016</v>
      </c>
      <c r="Y20" s="121"/>
      <c r="Z20" s="121">
        <v>8.000000000000016</v>
      </c>
      <c r="AA20" s="121">
        <v>8.000000000000016</v>
      </c>
      <c r="AB20" s="121">
        <v>8.000000000000016</v>
      </c>
      <c r="AC20" s="121">
        <v>8.000000000000016</v>
      </c>
      <c r="AD20" s="121">
        <v>8.000000000000016</v>
      </c>
      <c r="AE20" s="121"/>
      <c r="AF20" s="121"/>
      <c r="AG20" s="121">
        <v>8.000000000000016</v>
      </c>
      <c r="AH20" s="121">
        <v>8.000000000000016</v>
      </c>
      <c r="AI20" s="121">
        <v>8.000000000000016</v>
      </c>
      <c r="AJ20" s="121">
        <v>8.000000000000016</v>
      </c>
      <c r="AK20" s="122">
        <v>8.000000000000016</v>
      </c>
      <c r="AL20" s="123"/>
      <c r="AM20" s="124">
        <v>8.000000000000016</v>
      </c>
      <c r="AN20" s="125"/>
      <c r="AO20" s="126">
        <f t="shared" si="19"/>
        <v>176.00000000000043</v>
      </c>
      <c r="AP20" s="127"/>
      <c r="AQ20" s="127"/>
      <c r="AR20" s="127"/>
      <c r="AS20" s="127"/>
      <c r="AT20" s="127"/>
      <c r="AU20" s="127"/>
      <c r="AV20" s="127">
        <v>32.000000000000064</v>
      </c>
      <c r="AW20" s="127"/>
      <c r="AX20" s="127"/>
      <c r="AY20" s="127"/>
      <c r="AZ20" s="127"/>
      <c r="BA20" s="127"/>
      <c r="BB20" s="128">
        <v>1</v>
      </c>
      <c r="BC20" s="129">
        <f t="shared" si="20"/>
        <v>176.00000000000043</v>
      </c>
      <c r="BD20" s="129">
        <f t="shared" si="21"/>
        <v>0</v>
      </c>
      <c r="BE20" s="129">
        <f t="shared" si="22"/>
        <v>0</v>
      </c>
      <c r="BF20" s="127"/>
      <c r="BG20" s="127"/>
      <c r="BH20" s="127">
        <v>9</v>
      </c>
      <c r="BI20" s="127"/>
      <c r="BJ20" s="127"/>
      <c r="BK20" s="127"/>
      <c r="BL20" s="130">
        <f t="shared" si="23"/>
        <v>9</v>
      </c>
      <c r="BM20" s="130">
        <f t="shared" si="24"/>
        <v>18</v>
      </c>
      <c r="BN20" s="131"/>
      <c r="BO20" s="132"/>
    </row>
    <row r="21" spans="1:67" s="133" customFormat="1">
      <c r="A21" s="113">
        <v>71</v>
      </c>
      <c r="B21" s="114">
        <v>63</v>
      </c>
      <c r="C21" s="116">
        <v>63</v>
      </c>
      <c r="D21" s="116" t="s">
        <v>142</v>
      </c>
      <c r="E21" s="134" t="s">
        <v>143</v>
      </c>
      <c r="F21" s="117" t="s">
        <v>139</v>
      </c>
      <c r="G21" s="117"/>
      <c r="H21" s="119" t="s">
        <v>114</v>
      </c>
      <c r="I21" s="120" t="s">
        <v>115</v>
      </c>
      <c r="J21" s="121"/>
      <c r="K21" s="121"/>
      <c r="L21" s="121">
        <v>8.000000000000016</v>
      </c>
      <c r="M21" s="121">
        <v>8.000000000000016</v>
      </c>
      <c r="N21" s="121">
        <v>8.000000000000016</v>
      </c>
      <c r="O21" s="121">
        <v>8.000000000000016</v>
      </c>
      <c r="P21" s="121">
        <v>8.000000000000016</v>
      </c>
      <c r="Q21" s="121"/>
      <c r="R21" s="121"/>
      <c r="S21" s="121">
        <v>8.000000000000016</v>
      </c>
      <c r="T21" s="121">
        <v>8.000000000000016</v>
      </c>
      <c r="U21" s="121">
        <v>8.000000000000016</v>
      </c>
      <c r="V21" s="121">
        <v>8.000000000000016</v>
      </c>
      <c r="W21" s="122">
        <v>8.000000000000016</v>
      </c>
      <c r="X21" s="121"/>
      <c r="Y21" s="121"/>
      <c r="Z21" s="121">
        <v>8.000000000000016</v>
      </c>
      <c r="AA21" s="121">
        <v>8.000000000000016</v>
      </c>
      <c r="AB21" s="121">
        <v>8.000000000000016</v>
      </c>
      <c r="AC21" s="121">
        <v>8.000000000000016</v>
      </c>
      <c r="AD21" s="121">
        <v>8.000000000000016</v>
      </c>
      <c r="AE21" s="121"/>
      <c r="AF21" s="121"/>
      <c r="AG21" s="121">
        <v>8.000000000000016</v>
      </c>
      <c r="AH21" s="121">
        <v>8.000000000000016</v>
      </c>
      <c r="AI21" s="121">
        <v>8.000000000000016</v>
      </c>
      <c r="AJ21" s="121">
        <v>8.000000000000016</v>
      </c>
      <c r="AK21" s="122">
        <v>8.000000000000016</v>
      </c>
      <c r="AL21" s="123"/>
      <c r="AM21" s="124">
        <v>8.000000000000016</v>
      </c>
      <c r="AN21" s="125"/>
      <c r="AO21" s="126">
        <f t="shared" si="19"/>
        <v>168.0000000000004</v>
      </c>
      <c r="AP21" s="127"/>
      <c r="AQ21" s="127"/>
      <c r="AR21" s="127"/>
      <c r="AS21" s="127"/>
      <c r="AT21" s="127"/>
      <c r="AU21" s="127"/>
      <c r="AV21" s="127">
        <v>40.000000000000078</v>
      </c>
      <c r="AW21" s="127"/>
      <c r="AX21" s="127"/>
      <c r="AY21" s="127"/>
      <c r="AZ21" s="127"/>
      <c r="BA21" s="127"/>
      <c r="BB21" s="128">
        <v>1</v>
      </c>
      <c r="BC21" s="129">
        <f t="shared" si="20"/>
        <v>168.0000000000004</v>
      </c>
      <c r="BD21" s="129">
        <f t="shared" si="21"/>
        <v>0</v>
      </c>
      <c r="BE21" s="129">
        <f t="shared" si="22"/>
        <v>0</v>
      </c>
      <c r="BF21" s="127">
        <v>10</v>
      </c>
      <c r="BG21" s="127"/>
      <c r="BH21" s="127"/>
      <c r="BI21" s="127"/>
      <c r="BJ21" s="127"/>
      <c r="BK21" s="127"/>
      <c r="BL21" s="130">
        <f t="shared" si="23"/>
        <v>10</v>
      </c>
      <c r="BM21" s="130">
        <f t="shared" si="24"/>
        <v>15</v>
      </c>
      <c r="BN21" s="131"/>
      <c r="BO21" s="132"/>
    </row>
    <row r="22" spans="1:67" s="133" customFormat="1">
      <c r="A22" s="113">
        <v>71</v>
      </c>
      <c r="B22" s="114">
        <v>64</v>
      </c>
      <c r="C22" s="116">
        <v>64</v>
      </c>
      <c r="D22" s="116" t="s">
        <v>144</v>
      </c>
      <c r="E22" s="134" t="s">
        <v>145</v>
      </c>
      <c r="F22" s="117" t="s">
        <v>139</v>
      </c>
      <c r="G22" s="147">
        <v>39237</v>
      </c>
      <c r="H22" s="119" t="s">
        <v>114</v>
      </c>
      <c r="I22" s="120" t="s">
        <v>115</v>
      </c>
      <c r="J22" s="121"/>
      <c r="K22" s="121"/>
      <c r="L22" s="121">
        <v>8.000000000000016</v>
      </c>
      <c r="M22" s="121">
        <v>8.000000000000016</v>
      </c>
      <c r="N22" s="121">
        <v>8.000000000000016</v>
      </c>
      <c r="O22" s="121">
        <v>8.000000000000016</v>
      </c>
      <c r="P22" s="121">
        <v>8.000000000000016</v>
      </c>
      <c r="Q22" s="121"/>
      <c r="R22" s="121"/>
      <c r="S22" s="121"/>
      <c r="T22" s="121"/>
      <c r="U22" s="121">
        <v>8.000000000000016</v>
      </c>
      <c r="V22" s="121">
        <v>8.000000000000016</v>
      </c>
      <c r="W22" s="122">
        <v>8.000000000000016</v>
      </c>
      <c r="X22" s="121"/>
      <c r="Y22" s="121"/>
      <c r="Z22" s="121">
        <v>8.000000000000016</v>
      </c>
      <c r="AA22" s="121">
        <v>8.000000000000016</v>
      </c>
      <c r="AB22" s="121">
        <v>8.000000000000016</v>
      </c>
      <c r="AC22" s="121">
        <v>8.000000000000016</v>
      </c>
      <c r="AD22" s="121">
        <v>8.000000000000016</v>
      </c>
      <c r="AE22" s="121"/>
      <c r="AF22" s="121"/>
      <c r="AG22" s="121">
        <v>8.000000000000016</v>
      </c>
      <c r="AH22" s="121">
        <v>8.000000000000016</v>
      </c>
      <c r="AI22" s="121">
        <v>8.000000000000016</v>
      </c>
      <c r="AJ22" s="121">
        <v>8.000000000000016</v>
      </c>
      <c r="AK22" s="122">
        <v>8.000000000000016</v>
      </c>
      <c r="AL22" s="123"/>
      <c r="AM22" s="124">
        <v>8.000000000000016</v>
      </c>
      <c r="AN22" s="125"/>
      <c r="AO22" s="126">
        <f t="shared" si="19"/>
        <v>152.00000000000034</v>
      </c>
      <c r="AP22" s="127">
        <v>16.000000000000032</v>
      </c>
      <c r="AQ22" s="127"/>
      <c r="AR22" s="127"/>
      <c r="AS22" s="127"/>
      <c r="AT22" s="127"/>
      <c r="AU22" s="127"/>
      <c r="AV22" s="127">
        <v>40.000000000000078</v>
      </c>
      <c r="AW22" s="127"/>
      <c r="AX22" s="127"/>
      <c r="AY22" s="127"/>
      <c r="AZ22" s="127"/>
      <c r="BA22" s="127"/>
      <c r="BB22" s="128">
        <v>1</v>
      </c>
      <c r="BC22" s="129">
        <f t="shared" si="20"/>
        <v>168.00000000000037</v>
      </c>
      <c r="BD22" s="129">
        <f t="shared" si="21"/>
        <v>0</v>
      </c>
      <c r="BE22" s="129">
        <f t="shared" si="22"/>
        <v>0</v>
      </c>
      <c r="BF22" s="127">
        <v>4</v>
      </c>
      <c r="BG22" s="127">
        <v>9.5</v>
      </c>
      <c r="BH22" s="127"/>
      <c r="BI22" s="127"/>
      <c r="BJ22" s="127"/>
      <c r="BK22" s="127"/>
      <c r="BL22" s="130">
        <f t="shared" si="23"/>
        <v>13.5</v>
      </c>
      <c r="BM22" s="130">
        <f t="shared" si="24"/>
        <v>24.524999999999999</v>
      </c>
      <c r="BN22" s="131"/>
      <c r="BO22" s="132"/>
    </row>
    <row r="23" spans="1:67" s="133" customFormat="1">
      <c r="A23" s="113">
        <v>71</v>
      </c>
      <c r="B23" s="114">
        <v>65</v>
      </c>
      <c r="C23" s="116">
        <v>65</v>
      </c>
      <c r="D23" s="116" t="s">
        <v>146</v>
      </c>
      <c r="E23" s="134" t="s">
        <v>147</v>
      </c>
      <c r="F23" s="117" t="s">
        <v>139</v>
      </c>
      <c r="G23" s="147">
        <v>40000</v>
      </c>
      <c r="H23" s="119" t="s">
        <v>114</v>
      </c>
      <c r="I23" s="120" t="s">
        <v>115</v>
      </c>
      <c r="J23" s="121">
        <v>8.000000000000016</v>
      </c>
      <c r="K23" s="121"/>
      <c r="L23" s="121">
        <v>8.000000000000016</v>
      </c>
      <c r="M23" s="121">
        <v>8.000000000000016</v>
      </c>
      <c r="N23" s="121">
        <v>8.000000000000016</v>
      </c>
      <c r="O23" s="121">
        <v>4.000000000000008</v>
      </c>
      <c r="P23" s="121">
        <v>8.000000000000016</v>
      </c>
      <c r="Q23" s="121">
        <v>8.000000000000016</v>
      </c>
      <c r="R23" s="121"/>
      <c r="S23" s="121">
        <v>8.000000000000016</v>
      </c>
      <c r="T23" s="121">
        <v>8.000000000000016</v>
      </c>
      <c r="U23" s="121">
        <v>8.000000000000016</v>
      </c>
      <c r="V23" s="121">
        <v>8.000000000000016</v>
      </c>
      <c r="W23" s="122">
        <v>8.000000000000016</v>
      </c>
      <c r="X23" s="121">
        <v>8.000000000000016</v>
      </c>
      <c r="Y23" s="121"/>
      <c r="Z23" s="121">
        <v>8.000000000000016</v>
      </c>
      <c r="AA23" s="121">
        <v>8.000000000000016</v>
      </c>
      <c r="AB23" s="121">
        <v>8.000000000000016</v>
      </c>
      <c r="AC23" s="121">
        <v>4.000000000000008</v>
      </c>
      <c r="AD23" s="121">
        <v>8.000000000000016</v>
      </c>
      <c r="AE23" s="121">
        <v>8.000000000000016</v>
      </c>
      <c r="AF23" s="121"/>
      <c r="AG23" s="121">
        <v>8.000000000000016</v>
      </c>
      <c r="AH23" s="121">
        <v>8.000000000000016</v>
      </c>
      <c r="AI23" s="121">
        <v>8.000000000000016</v>
      </c>
      <c r="AJ23" s="121">
        <v>8.000000000000016</v>
      </c>
      <c r="AK23" s="122">
        <v>8.000000000000016</v>
      </c>
      <c r="AL23" s="123">
        <v>8.000000000000016</v>
      </c>
      <c r="AM23" s="124">
        <v>8.000000000000016</v>
      </c>
      <c r="AN23" s="125"/>
      <c r="AO23" s="126">
        <f t="shared" si="19"/>
        <v>200.00000000000048</v>
      </c>
      <c r="AP23" s="127">
        <v>4.000000000000008</v>
      </c>
      <c r="AQ23" s="127"/>
      <c r="AR23" s="127"/>
      <c r="AS23" s="127"/>
      <c r="AT23" s="127"/>
      <c r="AU23" s="127"/>
      <c r="AV23" s="127"/>
      <c r="AW23" s="127"/>
      <c r="AX23" s="127">
        <v>4.000000000000008</v>
      </c>
      <c r="AY23" s="127"/>
      <c r="AZ23" s="127"/>
      <c r="BA23" s="127"/>
      <c r="BB23" s="128">
        <v>1</v>
      </c>
      <c r="BC23" s="129">
        <f t="shared" si="20"/>
        <v>204.00000000000048</v>
      </c>
      <c r="BD23" s="129">
        <f t="shared" si="21"/>
        <v>0</v>
      </c>
      <c r="BE23" s="129">
        <f t="shared" si="22"/>
        <v>4.000000000000008</v>
      </c>
      <c r="BF23" s="127">
        <v>40</v>
      </c>
      <c r="BG23" s="127"/>
      <c r="BH23" s="127">
        <v>9</v>
      </c>
      <c r="BI23" s="127"/>
      <c r="BJ23" s="127"/>
      <c r="BK23" s="127"/>
      <c r="BL23" s="130">
        <f t="shared" si="23"/>
        <v>49</v>
      </c>
      <c r="BM23" s="130">
        <f t="shared" si="24"/>
        <v>78</v>
      </c>
      <c r="BN23" s="131"/>
      <c r="BO23" s="132"/>
    </row>
    <row r="24" spans="1:67" s="133" customFormat="1">
      <c r="A24" s="113">
        <v>71</v>
      </c>
      <c r="B24" s="114">
        <v>66</v>
      </c>
      <c r="C24" s="116">
        <v>66</v>
      </c>
      <c r="D24" s="116" t="s">
        <v>148</v>
      </c>
      <c r="E24" s="134" t="s">
        <v>149</v>
      </c>
      <c r="F24" s="117" t="s">
        <v>139</v>
      </c>
      <c r="G24" s="117"/>
      <c r="H24" s="119" t="s">
        <v>114</v>
      </c>
      <c r="I24" s="120" t="s">
        <v>115</v>
      </c>
      <c r="J24" s="121"/>
      <c r="K24" s="121"/>
      <c r="L24" s="121">
        <v>8.000000000000016</v>
      </c>
      <c r="M24" s="121">
        <v>8.000000000000016</v>
      </c>
      <c r="N24" s="121">
        <v>8.000000000000016</v>
      </c>
      <c r="O24" s="121">
        <v>8.000000000000016</v>
      </c>
      <c r="P24" s="121">
        <v>8.000000000000016</v>
      </c>
      <c r="Q24" s="121"/>
      <c r="R24" s="121"/>
      <c r="S24" s="121">
        <v>8.000000000000016</v>
      </c>
      <c r="T24" s="121">
        <v>8.000000000000016</v>
      </c>
      <c r="U24" s="121">
        <v>8.000000000000016</v>
      </c>
      <c r="V24" s="121">
        <v>8.000000000000016</v>
      </c>
      <c r="W24" s="122">
        <v>8.000000000000016</v>
      </c>
      <c r="X24" s="121"/>
      <c r="Y24" s="121"/>
      <c r="Z24" s="121"/>
      <c r="AA24" s="121">
        <v>8.000000000000016</v>
      </c>
      <c r="AB24" s="121">
        <v>8.000000000000016</v>
      </c>
      <c r="AC24" s="121">
        <v>8.000000000000016</v>
      </c>
      <c r="AD24" s="121">
        <v>8.000000000000016</v>
      </c>
      <c r="AE24" s="121"/>
      <c r="AF24" s="121"/>
      <c r="AG24" s="121">
        <v>8.000000000000016</v>
      </c>
      <c r="AH24" s="121">
        <v>8.000000000000016</v>
      </c>
      <c r="AI24" s="121">
        <v>8.000000000000016</v>
      </c>
      <c r="AJ24" s="121">
        <v>8.000000000000016</v>
      </c>
      <c r="AK24" s="122">
        <v>8.000000000000016</v>
      </c>
      <c r="AL24" s="123"/>
      <c r="AM24" s="124">
        <v>8.000000000000016</v>
      </c>
      <c r="AN24" s="125"/>
      <c r="AO24" s="126">
        <f t="shared" si="19"/>
        <v>160.00000000000037</v>
      </c>
      <c r="AP24" s="127">
        <v>8.000000000000016</v>
      </c>
      <c r="AQ24" s="127"/>
      <c r="AR24" s="127"/>
      <c r="AS24" s="127"/>
      <c r="AT24" s="127"/>
      <c r="AU24" s="127"/>
      <c r="AV24" s="127">
        <v>40.000000000000078</v>
      </c>
      <c r="AW24" s="127"/>
      <c r="AX24" s="127"/>
      <c r="AY24" s="127"/>
      <c r="AZ24" s="127"/>
      <c r="BA24" s="127"/>
      <c r="BB24" s="128">
        <v>1</v>
      </c>
      <c r="BC24" s="129">
        <f t="shared" si="20"/>
        <v>168.0000000000004</v>
      </c>
      <c r="BD24" s="129">
        <f t="shared" si="21"/>
        <v>0</v>
      </c>
      <c r="BE24" s="129">
        <f t="shared" si="22"/>
        <v>0</v>
      </c>
      <c r="BF24" s="127">
        <v>12.5</v>
      </c>
      <c r="BG24" s="127">
        <v>15</v>
      </c>
      <c r="BH24" s="127"/>
      <c r="BI24" s="127"/>
      <c r="BJ24" s="127">
        <v>5</v>
      </c>
      <c r="BK24" s="127"/>
      <c r="BL24" s="130">
        <f t="shared" si="23"/>
        <v>32.5</v>
      </c>
      <c r="BM24" s="130">
        <f t="shared" si="24"/>
        <v>63</v>
      </c>
      <c r="BN24" s="131"/>
      <c r="BO24" s="132"/>
    </row>
    <row r="25" spans="1:67" s="112" customFormat="1" ht="24" customHeight="1">
      <c r="A25" s="99">
        <v>0</v>
      </c>
      <c r="B25" s="221" t="s">
        <v>150</v>
      </c>
      <c r="C25" s="222"/>
      <c r="D25" s="222"/>
      <c r="E25" s="222"/>
      <c r="F25" s="223"/>
      <c r="G25" s="224"/>
      <c r="H25" s="225" t="s">
        <v>109</v>
      </c>
      <c r="I25" s="226"/>
      <c r="J25" s="136">
        <v>0</v>
      </c>
      <c r="K25" s="136">
        <v>0</v>
      </c>
      <c r="L25" s="136">
        <v>0</v>
      </c>
      <c r="M25" s="136">
        <v>8.000000000000016</v>
      </c>
      <c r="N25" s="136">
        <v>8.000000000000016</v>
      </c>
      <c r="O25" s="136">
        <v>8.000000000000016</v>
      </c>
      <c r="P25" s="136">
        <v>8.000000000000016</v>
      </c>
      <c r="Q25" s="136">
        <v>0</v>
      </c>
      <c r="R25" s="136">
        <v>0</v>
      </c>
      <c r="S25" s="136">
        <v>8.000000000000016</v>
      </c>
      <c r="T25" s="136">
        <v>8.000000000000016</v>
      </c>
      <c r="U25" s="136">
        <v>8.000000000000016</v>
      </c>
      <c r="V25" s="136">
        <v>8.000000000000016</v>
      </c>
      <c r="W25" s="137">
        <v>8.000000000000016</v>
      </c>
      <c r="X25" s="136">
        <v>0</v>
      </c>
      <c r="Y25" s="136">
        <v>0</v>
      </c>
      <c r="Z25" s="136">
        <v>8.000000000000016</v>
      </c>
      <c r="AA25" s="136">
        <v>8.000000000000016</v>
      </c>
      <c r="AB25" s="136">
        <v>8.000000000000016</v>
      </c>
      <c r="AC25" s="136">
        <v>8.000000000000016</v>
      </c>
      <c r="AD25" s="136">
        <v>8.000000000000016</v>
      </c>
      <c r="AE25" s="136">
        <v>0</v>
      </c>
      <c r="AF25" s="136">
        <v>0</v>
      </c>
      <c r="AG25" s="136">
        <v>8.000000000000016</v>
      </c>
      <c r="AH25" s="136">
        <v>8.000000000000016</v>
      </c>
      <c r="AI25" s="136">
        <v>8.000000000000016</v>
      </c>
      <c r="AJ25" s="136">
        <v>8.000000000000016</v>
      </c>
      <c r="AK25" s="137">
        <v>8.000000000000016</v>
      </c>
      <c r="AL25" s="138">
        <v>0</v>
      </c>
      <c r="AM25" s="139">
        <v>8.000000000000016</v>
      </c>
      <c r="AN25" s="140"/>
      <c r="AO25" s="105">
        <f t="shared" si="19"/>
        <v>160.00000000000037</v>
      </c>
      <c r="AP25" s="141">
        <v>8.000000000000016</v>
      </c>
      <c r="AQ25" s="141">
        <v>0</v>
      </c>
      <c r="AR25" s="141">
        <v>0</v>
      </c>
      <c r="AS25" s="141">
        <v>0</v>
      </c>
      <c r="AT25" s="141">
        <v>0</v>
      </c>
      <c r="AU25" s="141">
        <v>0</v>
      </c>
      <c r="AV25" s="141">
        <v>40.000000000000078</v>
      </c>
      <c r="AW25" s="141">
        <v>0</v>
      </c>
      <c r="AX25" s="141">
        <v>0</v>
      </c>
      <c r="AY25" s="141">
        <v>0</v>
      </c>
      <c r="AZ25" s="141">
        <v>0</v>
      </c>
      <c r="BA25" s="141">
        <v>0</v>
      </c>
      <c r="BB25" s="142">
        <v>1</v>
      </c>
      <c r="BC25" s="143">
        <f>SUBTOTAL(9,BC26)</f>
        <v>168.0000000000004</v>
      </c>
      <c r="BD25" s="143">
        <f>SUBTOTAL(9,BD26)</f>
        <v>0</v>
      </c>
      <c r="BE25" s="143">
        <f>SUBTOTAL(9,BE26)</f>
        <v>0</v>
      </c>
      <c r="BF25" s="141">
        <v>0</v>
      </c>
      <c r="BG25" s="141">
        <v>0</v>
      </c>
      <c r="BH25" s="141">
        <v>0</v>
      </c>
      <c r="BI25" s="141">
        <v>0</v>
      </c>
      <c r="BJ25" s="141">
        <v>0</v>
      </c>
      <c r="BK25" s="141">
        <v>0</v>
      </c>
      <c r="BL25" s="144">
        <f>SUBTOTAL(9,BL26)</f>
        <v>0</v>
      </c>
      <c r="BM25" s="144">
        <f>SUBTOTAL(9,BM26)</f>
        <v>0</v>
      </c>
      <c r="BN25" s="145"/>
      <c r="BO25" s="111"/>
    </row>
    <row r="26" spans="1:67" s="133" customFormat="1" ht="15.75" thickBot="1">
      <c r="A26" s="113">
        <v>78</v>
      </c>
      <c r="B26" s="114">
        <v>67</v>
      </c>
      <c r="C26" s="148">
        <v>63</v>
      </c>
      <c r="D26" s="148" t="s">
        <v>142</v>
      </c>
      <c r="E26" s="149" t="s">
        <v>151</v>
      </c>
      <c r="F26" s="150" t="s">
        <v>150</v>
      </c>
      <c r="G26" s="118">
        <v>40422</v>
      </c>
      <c r="H26" s="119" t="s">
        <v>114</v>
      </c>
      <c r="I26" s="120" t="s">
        <v>115</v>
      </c>
      <c r="J26" s="121"/>
      <c r="K26" s="121"/>
      <c r="L26" s="121"/>
      <c r="M26" s="121">
        <v>8.000000000000016</v>
      </c>
      <c r="N26" s="121">
        <v>8.000000000000016</v>
      </c>
      <c r="O26" s="121">
        <v>8.000000000000016</v>
      </c>
      <c r="P26" s="121">
        <v>8.000000000000016</v>
      </c>
      <c r="Q26" s="121"/>
      <c r="R26" s="121"/>
      <c r="S26" s="121">
        <v>8.000000000000016</v>
      </c>
      <c r="T26" s="121">
        <v>8.000000000000016</v>
      </c>
      <c r="U26" s="121">
        <v>8.000000000000016</v>
      </c>
      <c r="V26" s="121">
        <v>8.000000000000016</v>
      </c>
      <c r="W26" s="122">
        <v>8.000000000000016</v>
      </c>
      <c r="X26" s="121"/>
      <c r="Y26" s="121"/>
      <c r="Z26" s="121">
        <v>8.000000000000016</v>
      </c>
      <c r="AA26" s="121">
        <v>8.000000000000016</v>
      </c>
      <c r="AB26" s="121">
        <v>8.000000000000016</v>
      </c>
      <c r="AC26" s="121">
        <v>8.000000000000016</v>
      </c>
      <c r="AD26" s="121">
        <v>8.000000000000016</v>
      </c>
      <c r="AE26" s="121"/>
      <c r="AF26" s="121"/>
      <c r="AG26" s="121">
        <v>8.000000000000016</v>
      </c>
      <c r="AH26" s="121">
        <v>8.000000000000016</v>
      </c>
      <c r="AI26" s="121">
        <v>8.000000000000016</v>
      </c>
      <c r="AJ26" s="121">
        <v>8.000000000000016</v>
      </c>
      <c r="AK26" s="122">
        <v>8.000000000000016</v>
      </c>
      <c r="AL26" s="123"/>
      <c r="AM26" s="124">
        <v>8.000000000000016</v>
      </c>
      <c r="AN26" s="125"/>
      <c r="AO26" s="126">
        <f t="shared" si="19"/>
        <v>160.00000000000037</v>
      </c>
      <c r="AP26" s="127">
        <v>8.000000000000016</v>
      </c>
      <c r="AQ26" s="127"/>
      <c r="AR26" s="127"/>
      <c r="AS26" s="127"/>
      <c r="AT26" s="127"/>
      <c r="AU26" s="127"/>
      <c r="AV26" s="127">
        <v>40.000000000000078</v>
      </c>
      <c r="AW26" s="127"/>
      <c r="AX26" s="127"/>
      <c r="AY26" s="127"/>
      <c r="AZ26" s="127"/>
      <c r="BA26" s="127"/>
      <c r="BB26" s="128">
        <v>1</v>
      </c>
      <c r="BC26" s="129">
        <f>SUM(AO26:AS26)</f>
        <v>168.0000000000004</v>
      </c>
      <c r="BD26" s="129">
        <f>SUM(AT26:AU26)</f>
        <v>0</v>
      </c>
      <c r="BE26" s="129">
        <f>SUM(AX26:BA26)</f>
        <v>0</v>
      </c>
      <c r="BF26" s="127"/>
      <c r="BG26" s="127"/>
      <c r="BH26" s="127"/>
      <c r="BI26" s="127"/>
      <c r="BJ26" s="127"/>
      <c r="BK26" s="127"/>
      <c r="BL26" s="130">
        <f>SUM(BF26:BK26)</f>
        <v>0</v>
      </c>
      <c r="BM26" s="130">
        <f>BF26*1.5 +BG26*1.95 +BH26*2 +BI26*2.6 +BJ26*3 +BK26*3.9</f>
        <v>0</v>
      </c>
      <c r="BN26" s="151" t="s">
        <v>110</v>
      </c>
      <c r="BO26" s="132"/>
    </row>
    <row r="27" spans="1:67" s="168" customFormat="1" ht="26.25" customHeight="1">
      <c r="A27" s="152"/>
      <c r="B27" s="153" t="s">
        <v>152</v>
      </c>
      <c r="C27" s="153"/>
      <c r="D27" s="153"/>
      <c r="E27" s="154"/>
      <c r="F27" s="155"/>
      <c r="G27" s="156"/>
      <c r="H27" s="157"/>
      <c r="I27" s="158" t="s">
        <v>153</v>
      </c>
      <c r="J27" s="159">
        <v>88.000000000000199</v>
      </c>
      <c r="K27" s="160">
        <v>16</v>
      </c>
      <c r="L27" s="160">
        <v>496.00000000000199</v>
      </c>
      <c r="M27" s="160">
        <v>495.80000000000098</v>
      </c>
      <c r="N27" s="160">
        <v>496</v>
      </c>
      <c r="O27" s="160">
        <v>512.00000000000205</v>
      </c>
      <c r="P27" s="160">
        <v>520.00000000000205</v>
      </c>
      <c r="Q27" s="160">
        <v>64.000000000000099</v>
      </c>
      <c r="R27" s="160">
        <v>16</v>
      </c>
      <c r="S27" s="160">
        <v>476</v>
      </c>
      <c r="T27" s="160">
        <v>504.00000000000199</v>
      </c>
      <c r="U27" s="160">
        <v>516.00000000000205</v>
      </c>
      <c r="V27" s="160">
        <v>503.93333333333402</v>
      </c>
      <c r="W27" s="160">
        <v>492.00000000000199</v>
      </c>
      <c r="X27" s="160">
        <v>96.000000000000099</v>
      </c>
      <c r="Y27" s="160">
        <v>16</v>
      </c>
      <c r="Z27" s="160">
        <v>487.96666666666698</v>
      </c>
      <c r="AA27" s="160">
        <v>512.00000000000205</v>
      </c>
      <c r="AB27" s="160">
        <v>484</v>
      </c>
      <c r="AC27" s="160">
        <v>508.00000000000199</v>
      </c>
      <c r="AD27" s="160">
        <v>492.00000000000102</v>
      </c>
      <c r="AE27" s="160">
        <v>24</v>
      </c>
      <c r="AF27" s="160">
        <v>8.0000000000000195</v>
      </c>
      <c r="AG27" s="160">
        <v>508.00000000000199</v>
      </c>
      <c r="AH27" s="160">
        <v>507.51666666666699</v>
      </c>
      <c r="AI27" s="160">
        <v>472</v>
      </c>
      <c r="AJ27" s="160">
        <v>503.88333333333401</v>
      </c>
      <c r="AK27" s="160">
        <v>451.95</v>
      </c>
      <c r="AL27" s="160">
        <v>88.000000000000099</v>
      </c>
      <c r="AM27" s="160">
        <v>512.00000000000205</v>
      </c>
      <c r="AN27" s="160"/>
      <c r="AO27" s="161">
        <f t="shared" si="19"/>
        <v>10867.050000000023</v>
      </c>
      <c r="AP27" s="161">
        <v>492.00000000000102</v>
      </c>
      <c r="AQ27" s="161">
        <v>8.0000000000000195</v>
      </c>
      <c r="AR27" s="161">
        <v>8.0000000000000195</v>
      </c>
      <c r="AS27" s="161">
        <v>8.0000000000000195</v>
      </c>
      <c r="AT27" s="161">
        <v>0</v>
      </c>
      <c r="AU27" s="161">
        <v>8.0000000000000195</v>
      </c>
      <c r="AV27" s="161">
        <v>2184</v>
      </c>
      <c r="AW27" s="161">
        <v>36.000000000000099</v>
      </c>
      <c r="AX27" s="161">
        <v>48.000000000000099</v>
      </c>
      <c r="AY27" s="161">
        <v>0.95</v>
      </c>
      <c r="AZ27" s="161">
        <v>0</v>
      </c>
      <c r="BA27" s="161">
        <v>136</v>
      </c>
      <c r="BB27" s="162">
        <v>67</v>
      </c>
      <c r="BC27" s="163">
        <f>SUM(AO27:AS27)</f>
        <v>11383.050000000025</v>
      </c>
      <c r="BD27" s="163">
        <f>SUM(AT27:AU27)</f>
        <v>8.0000000000000195</v>
      </c>
      <c r="BE27" s="163">
        <f>SUM(AX27:BA27)</f>
        <v>184.9500000000001</v>
      </c>
      <c r="BF27" s="161">
        <v>759.1</v>
      </c>
      <c r="BG27" s="161">
        <v>318.5</v>
      </c>
      <c r="BH27" s="161">
        <v>52.05</v>
      </c>
      <c r="BI27" s="161">
        <v>71</v>
      </c>
      <c r="BJ27" s="161">
        <v>43.783333333333303</v>
      </c>
      <c r="BK27" s="164">
        <v>18.5</v>
      </c>
      <c r="BL27" s="164">
        <f>SUM(BF27:BK27)</f>
        <v>1262.9333333333332</v>
      </c>
      <c r="BM27" s="165">
        <f>BK27*3.9 + BJ27*3 +BI27*2.6+BH27*2+BG27*1.95+BF27*1.5</f>
        <v>2251.9250000000002</v>
      </c>
      <c r="BN27" s="166"/>
      <c r="BO27" s="167"/>
    </row>
    <row r="28" spans="1:67">
      <c r="B28" s="169" t="s">
        <v>102</v>
      </c>
      <c r="C28" s="169"/>
      <c r="D28" s="169" t="s">
        <v>154</v>
      </c>
      <c r="E28" s="170"/>
      <c r="F28" s="170"/>
      <c r="G28" s="171"/>
      <c r="H28" s="172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3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71"/>
      <c r="AI28" s="171"/>
      <c r="AJ28" s="171"/>
      <c r="AK28" s="173"/>
      <c r="AL28" s="173"/>
      <c r="AM28" s="172"/>
      <c r="AN28" s="174"/>
      <c r="AO28" s="171"/>
      <c r="AP28" s="171"/>
      <c r="AQ28" s="171"/>
      <c r="AR28" s="171"/>
      <c r="AS28" s="171"/>
      <c r="AT28" s="171"/>
      <c r="AU28" s="171"/>
      <c r="AV28" s="171"/>
      <c r="AW28" s="171"/>
      <c r="AX28" s="171"/>
      <c r="AY28" s="171"/>
      <c r="AZ28" s="171"/>
      <c r="BA28" s="171"/>
      <c r="BB28" s="175"/>
      <c r="BC28" s="175"/>
      <c r="BD28" s="175"/>
      <c r="BE28" s="175"/>
      <c r="BF28" s="171"/>
      <c r="BG28" s="171"/>
      <c r="BH28" s="171"/>
      <c r="BI28" s="171"/>
      <c r="BJ28" s="171"/>
      <c r="BK28" s="171"/>
      <c r="BL28" s="171"/>
      <c r="BM28" s="171"/>
      <c r="BN28" s="171"/>
      <c r="BO28" s="95"/>
    </row>
    <row r="29" spans="1:67">
      <c r="B29" s="176" t="s">
        <v>103</v>
      </c>
      <c r="C29" s="176"/>
      <c r="D29" s="176" t="s">
        <v>155</v>
      </c>
      <c r="E29" s="177"/>
      <c r="F29" s="177"/>
      <c r="G29" s="95"/>
      <c r="H29" s="178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179"/>
      <c r="X29" s="95"/>
      <c r="Y29" s="95"/>
      <c r="Z29" s="95"/>
      <c r="AA29" s="95"/>
      <c r="AB29" s="95"/>
      <c r="AC29" s="95"/>
      <c r="AD29" s="95"/>
      <c r="AE29" s="95"/>
      <c r="AF29" s="95"/>
      <c r="AG29" s="95"/>
      <c r="AH29" s="95"/>
      <c r="AI29" s="95"/>
      <c r="AJ29" s="95"/>
      <c r="AK29" s="179"/>
      <c r="AL29" s="179"/>
      <c r="AM29" s="178"/>
      <c r="AN29" s="180"/>
      <c r="AO29" s="95"/>
      <c r="AP29" s="95"/>
      <c r="AQ29" s="95"/>
      <c r="AR29" s="95"/>
      <c r="AS29" s="95"/>
      <c r="AT29" s="95"/>
      <c r="AU29" s="95"/>
      <c r="AV29" s="95"/>
      <c r="AW29" s="95"/>
      <c r="AX29" s="95"/>
      <c r="AY29" s="95"/>
      <c r="AZ29" s="95"/>
      <c r="BA29" s="95"/>
      <c r="BB29" s="181"/>
      <c r="BC29" s="181"/>
      <c r="BD29" s="181"/>
      <c r="BE29" s="181"/>
      <c r="BF29" s="95"/>
      <c r="BG29" s="95"/>
      <c r="BH29" s="95"/>
      <c r="BI29" s="95"/>
      <c r="BJ29" s="95"/>
      <c r="BK29" s="95"/>
      <c r="BL29" s="95"/>
      <c r="BM29" s="95"/>
      <c r="BN29" s="95"/>
      <c r="BO29" s="95"/>
    </row>
    <row r="30" spans="1:67">
      <c r="B30" s="169" t="s">
        <v>104</v>
      </c>
      <c r="C30" s="176"/>
      <c r="D30" s="176" t="s">
        <v>156</v>
      </c>
      <c r="E30" s="177"/>
      <c r="F30" s="177"/>
      <c r="G30" s="95"/>
      <c r="H30" s="178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179"/>
      <c r="X30" s="95"/>
      <c r="Y30" s="95"/>
      <c r="Z30" s="95"/>
      <c r="AA30" s="95"/>
      <c r="AB30" s="95"/>
      <c r="AC30" s="95"/>
      <c r="AD30" s="95"/>
      <c r="AE30" s="95"/>
      <c r="AF30" s="95"/>
      <c r="AG30" s="95"/>
      <c r="AH30" s="95"/>
      <c r="AI30" s="95"/>
      <c r="AJ30" s="95"/>
      <c r="AK30" s="179"/>
      <c r="AL30" s="179"/>
      <c r="AM30" s="178"/>
      <c r="AN30" s="180"/>
      <c r="AO30" s="95"/>
      <c r="AP30" s="95"/>
      <c r="AQ30" s="95"/>
      <c r="AR30" s="95"/>
      <c r="AS30" s="95"/>
      <c r="AT30" s="95"/>
      <c r="AU30" s="95"/>
      <c r="AV30" s="95"/>
      <c r="AW30" s="95"/>
      <c r="AX30" s="95"/>
      <c r="AY30" s="95"/>
      <c r="AZ30" s="95"/>
      <c r="BA30" s="95"/>
      <c r="BB30" s="181"/>
      <c r="BC30" s="181"/>
      <c r="BD30" s="181"/>
      <c r="BE30" s="181"/>
      <c r="BF30" s="95"/>
      <c r="BG30" s="95"/>
      <c r="BH30" s="95"/>
      <c r="BI30" s="95"/>
      <c r="BJ30" s="95"/>
      <c r="BK30" s="95"/>
      <c r="BL30" s="95"/>
      <c r="BM30" s="95"/>
      <c r="BN30" s="95"/>
      <c r="BO30" s="95"/>
    </row>
    <row r="31" spans="1:67">
      <c r="B31" s="169" t="s">
        <v>105</v>
      </c>
      <c r="C31" s="176"/>
      <c r="D31" s="176" t="s">
        <v>157</v>
      </c>
      <c r="E31" s="177"/>
      <c r="F31" s="177"/>
      <c r="G31" s="95"/>
      <c r="H31" s="178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179"/>
      <c r="X31" s="95"/>
      <c r="Y31" s="95"/>
      <c r="Z31" s="95"/>
      <c r="AA31" s="95"/>
      <c r="AB31" s="95"/>
      <c r="AC31" s="95"/>
      <c r="AD31" s="95"/>
      <c r="AE31" s="95"/>
      <c r="AF31" s="95"/>
      <c r="AG31" s="95"/>
      <c r="AH31" s="95"/>
      <c r="AI31" s="95"/>
      <c r="AJ31" s="95"/>
      <c r="AK31" s="179"/>
      <c r="AL31" s="179"/>
      <c r="AM31" s="178"/>
      <c r="AN31" s="180"/>
      <c r="AO31" s="95"/>
      <c r="AP31" s="95"/>
      <c r="AQ31" s="95"/>
      <c r="AR31" s="95"/>
      <c r="AS31" s="95"/>
      <c r="AT31" s="95"/>
      <c r="AU31" s="95"/>
      <c r="AV31" s="95"/>
      <c r="AW31" s="95"/>
      <c r="AX31" s="95"/>
      <c r="AY31" s="95"/>
      <c r="AZ31" s="95"/>
      <c r="BA31" s="95"/>
      <c r="BB31" s="181"/>
      <c r="BC31" s="181"/>
      <c r="BD31" s="181"/>
      <c r="BE31" s="181"/>
      <c r="BF31" s="95"/>
      <c r="BG31" s="95"/>
      <c r="BH31" s="95"/>
      <c r="BI31" s="95"/>
      <c r="BJ31" s="95"/>
      <c r="BK31" s="95"/>
      <c r="BL31" s="95"/>
      <c r="BM31" s="95"/>
      <c r="BN31" s="95"/>
      <c r="BO31" s="95"/>
    </row>
    <row r="32" spans="1:67">
      <c r="B32" s="169" t="s">
        <v>104</v>
      </c>
      <c r="C32" s="176"/>
      <c r="D32" s="176" t="s">
        <v>156</v>
      </c>
      <c r="E32" s="177"/>
      <c r="F32" s="177"/>
      <c r="G32" s="95"/>
      <c r="H32" s="178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179"/>
      <c r="X32" s="95"/>
      <c r="Y32" s="95"/>
      <c r="Z32" s="95"/>
      <c r="AA32" s="95"/>
      <c r="AB32" s="95"/>
      <c r="AC32" s="95"/>
      <c r="AD32" s="95"/>
      <c r="AE32" s="95"/>
      <c r="AF32" s="95"/>
      <c r="AG32" s="95"/>
      <c r="AH32" s="95"/>
      <c r="AI32" s="95"/>
      <c r="AJ32" s="95"/>
      <c r="AK32" s="179"/>
      <c r="AL32" s="179"/>
      <c r="AM32" s="178"/>
      <c r="AN32" s="180"/>
      <c r="AO32" s="95"/>
      <c r="AP32" s="95"/>
      <c r="AQ32" s="95"/>
      <c r="AR32" s="95"/>
      <c r="AS32" s="95"/>
      <c r="AT32" s="95"/>
      <c r="AU32" s="182"/>
      <c r="AV32" s="95"/>
      <c r="AW32" s="95"/>
      <c r="AX32" s="95"/>
      <c r="AY32" s="95"/>
      <c r="AZ32" s="95"/>
      <c r="BA32" s="95"/>
      <c r="BB32" s="181"/>
      <c r="BC32" s="181"/>
      <c r="BD32" s="181"/>
      <c r="BE32" s="181"/>
      <c r="BF32" s="95"/>
      <c r="BG32" s="95"/>
      <c r="BH32" s="95"/>
      <c r="BI32" s="95"/>
      <c r="BJ32" s="95"/>
      <c r="BK32" s="95"/>
      <c r="BL32" s="95"/>
      <c r="BM32" s="95"/>
      <c r="BN32" s="95"/>
      <c r="BO32" s="95"/>
    </row>
    <row r="33" spans="2:67">
      <c r="B33" s="169" t="s">
        <v>106</v>
      </c>
      <c r="C33" s="176"/>
      <c r="D33" s="176" t="s">
        <v>158</v>
      </c>
      <c r="E33" s="177"/>
      <c r="F33" s="177"/>
      <c r="G33" s="95"/>
      <c r="H33" s="178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179"/>
      <c r="X33" s="95"/>
      <c r="Y33" s="95"/>
      <c r="Z33" s="95"/>
      <c r="AA33" s="95"/>
      <c r="AB33" s="95"/>
      <c r="AC33" s="95"/>
      <c r="AD33" s="95"/>
      <c r="AE33" s="95"/>
      <c r="AF33" s="95"/>
      <c r="AG33" s="95"/>
      <c r="AH33" s="95"/>
      <c r="AI33" s="95"/>
      <c r="AJ33" s="95"/>
      <c r="AK33" s="179"/>
      <c r="AL33" s="179"/>
      <c r="AM33" s="178"/>
      <c r="AN33" s="180"/>
      <c r="AO33" s="95"/>
      <c r="AP33" s="95"/>
      <c r="AQ33" s="95"/>
      <c r="AR33" s="95"/>
      <c r="AS33" s="95"/>
      <c r="AT33" s="95"/>
      <c r="AU33" s="95"/>
      <c r="AV33" s="95"/>
      <c r="AW33" s="95"/>
      <c r="AX33" s="95"/>
      <c r="AY33" s="95"/>
      <c r="AZ33" s="95"/>
      <c r="BA33" s="95"/>
      <c r="BB33" s="181"/>
      <c r="BC33" s="181"/>
      <c r="BD33" s="181"/>
      <c r="BE33" s="181"/>
      <c r="BF33" s="95"/>
      <c r="BG33" s="95"/>
      <c r="BH33" s="95"/>
      <c r="BI33" s="95"/>
      <c r="BJ33" s="95"/>
      <c r="BK33" s="95"/>
      <c r="BL33" s="95"/>
      <c r="BM33" s="95"/>
      <c r="BN33" s="95"/>
      <c r="BO33" s="95"/>
    </row>
    <row r="34" spans="2:67">
      <c r="B34" s="169" t="s">
        <v>107</v>
      </c>
      <c r="C34" s="176"/>
      <c r="D34" s="176" t="s">
        <v>159</v>
      </c>
      <c r="E34" s="177"/>
      <c r="F34" s="177"/>
      <c r="G34" s="95"/>
      <c r="H34" s="178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179"/>
      <c r="X34" s="95"/>
      <c r="Y34" s="95"/>
      <c r="Z34" s="95"/>
      <c r="AA34" s="95"/>
      <c r="AB34" s="95"/>
      <c r="AC34" s="95"/>
      <c r="AD34" s="95"/>
      <c r="AE34" s="95"/>
      <c r="AF34" s="95"/>
      <c r="AG34" s="95"/>
      <c r="AH34" s="95"/>
      <c r="AI34" s="95"/>
      <c r="AJ34" s="95"/>
      <c r="AK34" s="179"/>
      <c r="AL34" s="179"/>
      <c r="AM34" s="178"/>
      <c r="AN34" s="180"/>
      <c r="AO34" s="95"/>
      <c r="AP34" s="95"/>
      <c r="AQ34" s="95"/>
      <c r="AR34" s="95"/>
      <c r="AS34" s="95"/>
      <c r="AT34" s="95"/>
      <c r="AU34" s="95"/>
      <c r="AV34" s="95"/>
      <c r="AW34" s="95"/>
      <c r="AX34" s="95"/>
      <c r="AY34" s="95"/>
      <c r="AZ34" s="95"/>
      <c r="BA34" s="95"/>
      <c r="BB34" s="181"/>
      <c r="BC34" s="181"/>
      <c r="BD34" s="181"/>
      <c r="BE34" s="181"/>
      <c r="BF34" s="95"/>
      <c r="BG34" s="95"/>
      <c r="BH34" s="95"/>
      <c r="BI34" s="95"/>
      <c r="BJ34" s="95"/>
      <c r="BK34" s="95"/>
      <c r="BL34" s="95"/>
      <c r="BM34" s="95"/>
      <c r="BN34" s="95"/>
      <c r="BO34" s="95"/>
    </row>
    <row r="35" spans="2:67">
      <c r="B35" s="95"/>
      <c r="C35" s="95"/>
      <c r="D35" s="95"/>
      <c r="E35" s="177"/>
      <c r="F35" s="177"/>
      <c r="G35" s="95"/>
      <c r="H35" s="178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179"/>
      <c r="X35" s="95"/>
      <c r="Y35" s="95"/>
      <c r="Z35" s="95"/>
      <c r="AA35" s="95"/>
      <c r="AB35" s="95"/>
      <c r="AC35" s="95"/>
      <c r="AD35" s="95"/>
      <c r="AE35" s="95"/>
      <c r="AF35" s="95"/>
      <c r="AG35" s="95"/>
      <c r="AH35" s="95"/>
      <c r="AI35" s="95"/>
      <c r="AJ35" s="95"/>
      <c r="AK35" s="179"/>
      <c r="AL35" s="179"/>
      <c r="AM35" s="178"/>
      <c r="AN35" s="180"/>
      <c r="AO35" s="95"/>
      <c r="AP35" s="95"/>
      <c r="AQ35" s="95"/>
      <c r="AR35" s="95"/>
      <c r="AS35" s="95"/>
      <c r="AT35" s="95"/>
      <c r="AU35" s="95"/>
      <c r="AV35" s="95"/>
      <c r="AW35" s="95"/>
      <c r="AX35" s="95"/>
      <c r="AY35" s="95"/>
      <c r="AZ35" s="95"/>
      <c r="BA35" s="95"/>
      <c r="BB35" s="181"/>
      <c r="BC35" s="181"/>
      <c r="BD35" s="181"/>
      <c r="BE35" s="181"/>
      <c r="BF35" s="95"/>
      <c r="BG35" s="95"/>
      <c r="BH35" s="95"/>
      <c r="BI35" s="95"/>
      <c r="BJ35" s="95"/>
      <c r="BK35" s="95"/>
      <c r="BL35" s="95"/>
      <c r="BM35" s="95"/>
      <c r="BN35" s="95"/>
      <c r="BO35" s="95"/>
    </row>
    <row r="36" spans="2:67">
      <c r="B36" s="95"/>
      <c r="C36" s="95"/>
      <c r="D36" s="95"/>
      <c r="E36" s="177"/>
      <c r="F36" s="177"/>
      <c r="G36" s="95"/>
      <c r="H36" s="178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179"/>
      <c r="X36" s="95"/>
      <c r="Y36" s="95"/>
      <c r="Z36" s="95"/>
      <c r="AA36" s="95"/>
      <c r="AB36" s="95"/>
      <c r="AC36" s="95"/>
      <c r="AD36" s="95"/>
      <c r="AE36" s="95"/>
      <c r="AF36" s="95"/>
      <c r="AG36" s="95"/>
      <c r="AH36" s="95"/>
      <c r="AI36" s="95"/>
      <c r="AJ36" s="95"/>
      <c r="AK36" s="179"/>
      <c r="AL36" s="179"/>
      <c r="AM36" s="178"/>
      <c r="AN36" s="180"/>
      <c r="AO36" s="95"/>
      <c r="AP36" s="95"/>
      <c r="AQ36" s="95"/>
      <c r="AR36" s="95"/>
      <c r="AS36" s="95"/>
      <c r="AT36" s="95"/>
      <c r="AU36" s="95"/>
      <c r="AV36" s="95"/>
      <c r="AW36" s="95"/>
      <c r="AX36" s="95"/>
      <c r="AY36" s="95"/>
      <c r="AZ36" s="95"/>
      <c r="BA36" s="95"/>
      <c r="BB36" s="181"/>
      <c r="BC36" s="181"/>
      <c r="BD36" s="181"/>
      <c r="BE36" s="181"/>
      <c r="BF36" s="95"/>
      <c r="BG36" s="95"/>
      <c r="BH36" s="95"/>
      <c r="BI36" s="95"/>
      <c r="BJ36" s="95"/>
      <c r="BK36" s="95"/>
      <c r="BL36" s="95"/>
      <c r="BM36" s="95"/>
      <c r="BN36" s="95"/>
      <c r="BO36" s="95"/>
    </row>
    <row r="37" spans="2:67">
      <c r="B37" s="95"/>
      <c r="C37" s="95"/>
      <c r="D37" s="95"/>
      <c r="E37" s="177"/>
      <c r="F37" s="177"/>
      <c r="G37" s="95"/>
      <c r="H37" s="178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179"/>
      <c r="X37" s="95"/>
      <c r="Y37" s="95"/>
      <c r="Z37" s="95"/>
      <c r="AA37" s="95"/>
      <c r="AB37" s="95"/>
      <c r="AC37" s="95"/>
      <c r="AD37" s="95"/>
      <c r="AE37" s="95"/>
      <c r="AF37" s="95"/>
      <c r="AG37" s="95"/>
      <c r="AH37" s="95"/>
      <c r="AI37" s="95"/>
      <c r="AJ37" s="95"/>
      <c r="AK37" s="179"/>
      <c r="AL37" s="179"/>
      <c r="AM37" s="178"/>
      <c r="AN37" s="180"/>
      <c r="AO37" s="95"/>
      <c r="AP37" s="95"/>
      <c r="AQ37" s="95"/>
      <c r="AR37" s="95"/>
      <c r="AS37" s="95"/>
      <c r="AT37" s="95"/>
      <c r="AU37" s="95"/>
      <c r="AV37" s="95"/>
      <c r="AW37" s="95"/>
      <c r="AX37" s="95"/>
      <c r="AY37" s="95"/>
      <c r="AZ37" s="95"/>
      <c r="BA37" s="95"/>
      <c r="BB37" s="181"/>
      <c r="BC37" s="181"/>
      <c r="BD37" s="181"/>
      <c r="BE37" s="181"/>
      <c r="BF37" s="95"/>
      <c r="BG37" s="95"/>
      <c r="BH37" s="95"/>
      <c r="BI37" s="95"/>
      <c r="BJ37" s="95"/>
      <c r="BK37" s="95"/>
      <c r="BL37" s="95"/>
      <c r="BM37" s="95"/>
      <c r="BN37" s="95"/>
      <c r="BO37" s="95"/>
    </row>
    <row r="38" spans="2:67">
      <c r="B38" s="95"/>
      <c r="C38" s="95"/>
      <c r="D38" s="95"/>
      <c r="E38" s="177"/>
      <c r="F38" s="177"/>
      <c r="G38" s="95"/>
      <c r="H38" s="178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179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179"/>
      <c r="AL38" s="179"/>
      <c r="AM38" s="178"/>
      <c r="AN38" s="180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181"/>
      <c r="BC38" s="181"/>
      <c r="BD38" s="181"/>
      <c r="BE38" s="181"/>
      <c r="BF38" s="95"/>
      <c r="BG38" s="95"/>
      <c r="BH38" s="95"/>
      <c r="BI38" s="95"/>
      <c r="BJ38" s="95"/>
      <c r="BK38" s="95"/>
      <c r="BL38" s="95"/>
      <c r="BM38" s="95"/>
      <c r="BN38" s="95"/>
      <c r="BO38" s="95"/>
    </row>
    <row r="39" spans="2:67">
      <c r="B39" s="95"/>
      <c r="C39" s="95"/>
      <c r="D39" s="95"/>
      <c r="E39" s="177"/>
      <c r="F39" s="177"/>
      <c r="G39" s="95"/>
      <c r="H39" s="178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179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179"/>
      <c r="AL39" s="179"/>
      <c r="AM39" s="178"/>
      <c r="AN39" s="180"/>
      <c r="AO39" s="95"/>
      <c r="AP39" s="95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181"/>
      <c r="BC39" s="181"/>
      <c r="BD39" s="181"/>
      <c r="BE39" s="181"/>
      <c r="BF39" s="95"/>
      <c r="BG39" s="95"/>
      <c r="BH39" s="95"/>
      <c r="BI39" s="95"/>
      <c r="BJ39" s="95"/>
      <c r="BK39" s="95"/>
      <c r="BL39" s="95"/>
      <c r="BM39" s="95"/>
      <c r="BN39" s="95"/>
      <c r="BO39" s="95"/>
    </row>
    <row r="40" spans="2:67">
      <c r="B40" s="95"/>
      <c r="C40" s="95"/>
      <c r="D40" s="95"/>
      <c r="E40" s="177"/>
      <c r="F40" s="177"/>
      <c r="G40" s="95"/>
      <c r="H40" s="178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179"/>
      <c r="X40" s="95"/>
      <c r="Y40" s="95"/>
      <c r="Z40" s="95"/>
      <c r="AA40" s="95"/>
      <c r="AB40" s="95"/>
      <c r="AC40" s="95"/>
      <c r="AD40" s="95"/>
      <c r="AE40" s="95"/>
      <c r="AF40" s="95"/>
      <c r="AG40" s="95"/>
      <c r="AH40" s="95"/>
      <c r="AI40" s="95"/>
      <c r="AJ40" s="95"/>
      <c r="AK40" s="179"/>
      <c r="AL40" s="179"/>
      <c r="AM40" s="178"/>
      <c r="AN40" s="180"/>
      <c r="AO40" s="95"/>
      <c r="AP40" s="95"/>
      <c r="AQ40" s="95"/>
      <c r="AR40" s="95"/>
      <c r="AS40" s="95"/>
      <c r="AT40" s="95"/>
      <c r="AU40" s="95"/>
      <c r="AV40" s="95"/>
      <c r="AW40" s="95"/>
      <c r="AX40" s="95"/>
      <c r="AY40" s="95"/>
      <c r="AZ40" s="95"/>
      <c r="BA40" s="95"/>
      <c r="BB40" s="181"/>
      <c r="BC40" s="181"/>
      <c r="BD40" s="181"/>
      <c r="BE40" s="181"/>
      <c r="BF40" s="95"/>
      <c r="BG40" s="95"/>
      <c r="BH40" s="95"/>
      <c r="BI40" s="95"/>
      <c r="BJ40" s="95"/>
      <c r="BK40" s="95"/>
      <c r="BL40" s="95"/>
      <c r="BM40" s="95"/>
      <c r="BN40" s="95"/>
      <c r="BO40" s="95"/>
    </row>
    <row r="41" spans="2:67">
      <c r="B41" s="95"/>
      <c r="C41" s="95"/>
      <c r="D41" s="95"/>
      <c r="E41" s="177"/>
      <c r="F41" s="177"/>
      <c r="G41" s="95"/>
      <c r="H41" s="178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179"/>
      <c r="X41" s="95"/>
      <c r="Y41" s="95"/>
      <c r="Z41" s="95"/>
      <c r="AA41" s="95"/>
      <c r="AB41" s="95"/>
      <c r="AC41" s="95"/>
      <c r="AD41" s="95"/>
      <c r="AE41" s="95"/>
      <c r="AF41" s="95"/>
      <c r="AG41" s="95"/>
      <c r="AH41" s="95"/>
      <c r="AI41" s="95"/>
      <c r="AJ41" s="95"/>
      <c r="AK41" s="179"/>
      <c r="AL41" s="179"/>
      <c r="AM41" s="178"/>
      <c r="AN41" s="180"/>
      <c r="AO41" s="95"/>
      <c r="AP41" s="95"/>
      <c r="AQ41" s="95"/>
      <c r="AR41" s="95"/>
      <c r="AS41" s="95"/>
      <c r="AT41" s="95"/>
      <c r="AU41" s="95"/>
      <c r="AV41" s="95"/>
      <c r="AW41" s="95"/>
      <c r="AX41" s="95"/>
      <c r="AY41" s="95"/>
      <c r="AZ41" s="95"/>
      <c r="BA41" s="95"/>
      <c r="BB41" s="181"/>
      <c r="BC41" s="181"/>
      <c r="BD41" s="181"/>
      <c r="BE41" s="181"/>
      <c r="BF41" s="95"/>
      <c r="BG41" s="95"/>
      <c r="BH41" s="95"/>
      <c r="BI41" s="95"/>
      <c r="BJ41" s="95"/>
      <c r="BK41" s="95"/>
      <c r="BL41" s="95"/>
      <c r="BM41" s="95"/>
      <c r="BN41" s="95"/>
      <c r="BO41" s="95"/>
    </row>
    <row r="42" spans="2:67">
      <c r="B42" s="95"/>
      <c r="C42" s="95"/>
      <c r="D42" s="95"/>
      <c r="E42" s="177"/>
      <c r="F42" s="177"/>
      <c r="G42" s="95"/>
      <c r="H42" s="178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179"/>
      <c r="X42" s="95"/>
      <c r="Y42" s="95"/>
      <c r="Z42" s="95"/>
      <c r="AA42" s="95"/>
      <c r="AB42" s="95"/>
      <c r="AC42" s="95"/>
      <c r="AD42" s="95"/>
      <c r="AE42" s="95"/>
      <c r="AF42" s="95"/>
      <c r="AG42" s="95"/>
      <c r="AH42" s="95"/>
      <c r="AI42" s="95"/>
      <c r="AJ42" s="95"/>
      <c r="AK42" s="179"/>
      <c r="AL42" s="179"/>
      <c r="AM42" s="178"/>
      <c r="AN42" s="180"/>
      <c r="AO42" s="95"/>
      <c r="AP42" s="95"/>
      <c r="AQ42" s="95"/>
      <c r="AR42" s="95"/>
      <c r="AS42" s="95"/>
      <c r="AT42" s="95"/>
      <c r="AU42" s="95"/>
      <c r="AV42" s="95"/>
      <c r="AW42" s="95"/>
      <c r="AX42" s="95"/>
      <c r="AY42" s="95"/>
      <c r="AZ42" s="95"/>
      <c r="BA42" s="95"/>
      <c r="BB42" s="181"/>
      <c r="BC42" s="181"/>
      <c r="BD42" s="181"/>
      <c r="BE42" s="181"/>
      <c r="BF42" s="95"/>
      <c r="BG42" s="95"/>
      <c r="BH42" s="95"/>
      <c r="BI42" s="95"/>
      <c r="BJ42" s="95"/>
      <c r="BK42" s="95"/>
      <c r="BL42" s="95"/>
      <c r="BM42" s="95"/>
      <c r="BN42" s="95"/>
      <c r="BO42" s="95"/>
    </row>
    <row r="43" spans="2:67">
      <c r="B43" s="95"/>
      <c r="C43" s="95"/>
      <c r="D43" s="95"/>
      <c r="E43" s="177"/>
      <c r="F43" s="177"/>
      <c r="G43" s="95"/>
      <c r="H43" s="178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179"/>
      <c r="X43" s="95"/>
      <c r="Y43" s="95"/>
      <c r="Z43" s="95"/>
      <c r="AA43" s="95"/>
      <c r="AB43" s="95"/>
      <c r="AC43" s="95"/>
      <c r="AD43" s="95"/>
      <c r="AE43" s="95"/>
      <c r="AF43" s="95"/>
      <c r="AG43" s="95"/>
      <c r="AH43" s="95"/>
      <c r="AI43" s="95"/>
      <c r="AJ43" s="95"/>
      <c r="AK43" s="179"/>
      <c r="AL43" s="179"/>
      <c r="AM43" s="178"/>
      <c r="AN43" s="180"/>
      <c r="AO43" s="95"/>
      <c r="AP43" s="95"/>
      <c r="AQ43" s="95"/>
      <c r="AR43" s="95"/>
      <c r="AS43" s="95"/>
      <c r="AT43" s="95"/>
      <c r="AU43" s="95"/>
      <c r="AV43" s="95"/>
      <c r="AW43" s="95"/>
      <c r="AX43" s="95"/>
      <c r="AY43" s="95"/>
      <c r="AZ43" s="95"/>
      <c r="BA43" s="95"/>
      <c r="BB43" s="181"/>
      <c r="BC43" s="181"/>
      <c r="BD43" s="181"/>
      <c r="BE43" s="181"/>
      <c r="BF43" s="95"/>
      <c r="BG43" s="95"/>
      <c r="BH43" s="95"/>
      <c r="BI43" s="95"/>
      <c r="BJ43" s="95"/>
      <c r="BK43" s="95"/>
      <c r="BL43" s="95"/>
      <c r="BM43" s="95"/>
      <c r="BN43" s="95"/>
      <c r="BO43" s="95"/>
    </row>
    <row r="44" spans="2:67">
      <c r="B44" s="95"/>
      <c r="C44" s="95"/>
      <c r="D44" s="95"/>
      <c r="E44" s="177"/>
      <c r="F44" s="177"/>
      <c r="G44" s="95"/>
      <c r="H44" s="178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179"/>
      <c r="X44" s="95"/>
      <c r="Y44" s="95"/>
      <c r="Z44" s="95"/>
      <c r="AA44" s="95"/>
      <c r="AB44" s="95"/>
      <c r="AC44" s="95"/>
      <c r="AD44" s="95"/>
      <c r="AE44" s="95"/>
      <c r="AF44" s="95"/>
      <c r="AG44" s="95"/>
      <c r="AH44" s="95"/>
      <c r="AI44" s="95"/>
      <c r="AJ44" s="95"/>
      <c r="AK44" s="179"/>
      <c r="AL44" s="179"/>
      <c r="AM44" s="178"/>
      <c r="AN44" s="180"/>
      <c r="AO44" s="95"/>
      <c r="AP44" s="95"/>
      <c r="AQ44" s="95"/>
      <c r="AR44" s="95"/>
      <c r="AS44" s="95"/>
      <c r="AT44" s="95"/>
      <c r="AU44" s="95"/>
      <c r="AV44" s="95"/>
      <c r="AW44" s="95"/>
      <c r="AX44" s="95"/>
      <c r="AY44" s="95"/>
      <c r="AZ44" s="95"/>
      <c r="BA44" s="95"/>
      <c r="BB44" s="181"/>
      <c r="BC44" s="181"/>
      <c r="BD44" s="181"/>
      <c r="BE44" s="181"/>
      <c r="BF44" s="95"/>
      <c r="BG44" s="95"/>
      <c r="BH44" s="95"/>
      <c r="BI44" s="95"/>
      <c r="BJ44" s="95"/>
      <c r="BK44" s="95"/>
      <c r="BL44" s="95"/>
      <c r="BM44" s="95"/>
      <c r="BN44" s="95"/>
      <c r="BO44" s="95"/>
    </row>
    <row r="45" spans="2:67">
      <c r="B45" s="95"/>
      <c r="C45" s="95"/>
      <c r="D45" s="95"/>
      <c r="E45" s="177"/>
      <c r="F45" s="177"/>
      <c r="G45" s="95"/>
      <c r="H45" s="178"/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179"/>
      <c r="X45" s="95"/>
      <c r="Y45" s="95"/>
      <c r="Z45" s="95"/>
      <c r="AA45" s="95"/>
      <c r="AB45" s="95"/>
      <c r="AC45" s="95"/>
      <c r="AD45" s="95"/>
      <c r="AE45" s="95"/>
      <c r="AF45" s="95"/>
      <c r="AG45" s="95"/>
      <c r="AH45" s="95"/>
      <c r="AI45" s="95"/>
      <c r="AJ45" s="95"/>
      <c r="AK45" s="179"/>
      <c r="AL45" s="179"/>
      <c r="AM45" s="178"/>
      <c r="AN45" s="180"/>
      <c r="AO45" s="95"/>
      <c r="AP45" s="95"/>
      <c r="AQ45" s="95"/>
      <c r="AR45" s="95"/>
      <c r="AS45" s="95"/>
      <c r="AT45" s="95"/>
      <c r="AU45" s="95"/>
      <c r="AV45" s="95"/>
      <c r="AW45" s="95"/>
      <c r="AX45" s="95"/>
      <c r="AY45" s="95"/>
      <c r="AZ45" s="95"/>
      <c r="BA45" s="95"/>
      <c r="BB45" s="181"/>
      <c r="BC45" s="181"/>
      <c r="BD45" s="181"/>
      <c r="BE45" s="181"/>
      <c r="BF45" s="95"/>
      <c r="BG45" s="95"/>
      <c r="BH45" s="95"/>
      <c r="BI45" s="95"/>
      <c r="BJ45" s="95"/>
      <c r="BK45" s="95"/>
      <c r="BL45" s="95"/>
      <c r="BM45" s="95"/>
      <c r="BN45" s="95"/>
      <c r="BO45" s="95"/>
    </row>
    <row r="46" spans="2:67">
      <c r="B46" s="95"/>
      <c r="C46" s="95"/>
      <c r="D46" s="95"/>
      <c r="E46" s="177"/>
      <c r="F46" s="177"/>
      <c r="G46" s="95"/>
      <c r="H46" s="178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179"/>
      <c r="X46" s="95"/>
      <c r="Y46" s="95"/>
      <c r="Z46" s="95"/>
      <c r="AA46" s="95"/>
      <c r="AB46" s="95"/>
      <c r="AC46" s="95"/>
      <c r="AD46" s="95"/>
      <c r="AE46" s="95"/>
      <c r="AF46" s="95"/>
      <c r="AG46" s="95"/>
      <c r="AH46" s="95"/>
      <c r="AI46" s="95"/>
      <c r="AJ46" s="95"/>
      <c r="AK46" s="179"/>
      <c r="AL46" s="179"/>
      <c r="AM46" s="178"/>
      <c r="AN46" s="180"/>
      <c r="AO46" s="95"/>
      <c r="AP46" s="95"/>
      <c r="AQ46" s="95"/>
      <c r="AR46" s="95"/>
      <c r="AS46" s="95"/>
      <c r="AT46" s="95"/>
      <c r="AU46" s="95"/>
      <c r="AV46" s="95"/>
      <c r="AW46" s="95"/>
      <c r="AX46" s="95"/>
      <c r="AY46" s="95"/>
      <c r="AZ46" s="95"/>
      <c r="BA46" s="95"/>
      <c r="BB46" s="181"/>
      <c r="BC46" s="181"/>
      <c r="BD46" s="181"/>
      <c r="BE46" s="181"/>
      <c r="BF46" s="95"/>
      <c r="BG46" s="95"/>
      <c r="BH46" s="95"/>
      <c r="BI46" s="95"/>
      <c r="BJ46" s="95"/>
      <c r="BK46" s="95"/>
      <c r="BL46" s="95"/>
      <c r="BM46" s="95"/>
      <c r="BN46" s="95"/>
      <c r="BO46" s="95"/>
    </row>
    <row r="47" spans="2:67">
      <c r="B47" s="95"/>
      <c r="C47" s="95"/>
      <c r="D47" s="95"/>
      <c r="E47" s="177"/>
      <c r="F47" s="177"/>
      <c r="G47" s="95"/>
      <c r="H47" s="178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179"/>
      <c r="X47" s="95"/>
      <c r="Y47" s="95"/>
      <c r="Z47" s="95"/>
      <c r="AA47" s="95"/>
      <c r="AB47" s="95"/>
      <c r="AC47" s="95"/>
      <c r="AD47" s="95"/>
      <c r="AE47" s="95"/>
      <c r="AF47" s="95"/>
      <c r="AG47" s="95"/>
      <c r="AH47" s="95"/>
      <c r="AI47" s="95"/>
      <c r="AJ47" s="95"/>
      <c r="AK47" s="179"/>
      <c r="AL47" s="179"/>
      <c r="AM47" s="178"/>
      <c r="AN47" s="180"/>
      <c r="AO47" s="95"/>
      <c r="AP47" s="95"/>
      <c r="AQ47" s="95"/>
      <c r="AR47" s="95"/>
      <c r="AS47" s="95"/>
      <c r="AT47" s="95"/>
      <c r="AU47" s="95"/>
      <c r="AV47" s="95"/>
      <c r="AW47" s="95"/>
      <c r="AX47" s="95"/>
      <c r="AY47" s="95"/>
      <c r="AZ47" s="95"/>
      <c r="BA47" s="95"/>
      <c r="BB47" s="181"/>
      <c r="BC47" s="181"/>
      <c r="BD47" s="181"/>
      <c r="BE47" s="181"/>
      <c r="BF47" s="95"/>
      <c r="BG47" s="95"/>
      <c r="BH47" s="95"/>
      <c r="BI47" s="95"/>
      <c r="BJ47" s="95"/>
      <c r="BK47" s="95"/>
      <c r="BL47" s="95"/>
      <c r="BM47" s="95"/>
      <c r="BN47" s="95"/>
      <c r="BO47" s="95"/>
    </row>
    <row r="48" spans="2:67">
      <c r="B48" s="95"/>
      <c r="C48" s="95"/>
      <c r="D48" s="95"/>
      <c r="E48" s="177"/>
      <c r="F48" s="177"/>
      <c r="G48" s="95"/>
      <c r="H48" s="178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179"/>
      <c r="X48" s="95"/>
      <c r="Y48" s="95"/>
      <c r="Z48" s="95"/>
      <c r="AA48" s="95"/>
      <c r="AB48" s="95"/>
      <c r="AC48" s="95"/>
      <c r="AD48" s="95"/>
      <c r="AE48" s="95"/>
      <c r="AF48" s="95"/>
      <c r="AG48" s="95"/>
      <c r="AH48" s="95"/>
      <c r="AI48" s="95"/>
      <c r="AJ48" s="95"/>
      <c r="AK48" s="179"/>
      <c r="AL48" s="179"/>
      <c r="AM48" s="178"/>
      <c r="AN48" s="180"/>
      <c r="AO48" s="95"/>
      <c r="AP48" s="95"/>
      <c r="AQ48" s="95"/>
      <c r="AR48" s="95"/>
      <c r="AS48" s="95"/>
      <c r="AT48" s="95"/>
      <c r="AU48" s="95"/>
      <c r="AV48" s="95"/>
      <c r="AW48" s="95"/>
      <c r="AX48" s="95"/>
      <c r="AY48" s="95"/>
      <c r="AZ48" s="95"/>
      <c r="BA48" s="95"/>
      <c r="BB48" s="181"/>
      <c r="BC48" s="181"/>
      <c r="BD48" s="181"/>
      <c r="BE48" s="181"/>
      <c r="BF48" s="95"/>
      <c r="BG48" s="95"/>
      <c r="BH48" s="95"/>
      <c r="BI48" s="95"/>
      <c r="BJ48" s="95"/>
      <c r="BK48" s="95"/>
      <c r="BL48" s="95"/>
      <c r="BM48" s="95"/>
      <c r="BN48" s="95"/>
      <c r="BO48" s="95"/>
    </row>
    <row r="49" spans="2:67">
      <c r="B49" s="95"/>
      <c r="C49" s="95"/>
      <c r="D49" s="95"/>
      <c r="E49" s="177"/>
      <c r="F49" s="177"/>
      <c r="G49" s="95"/>
      <c r="H49" s="178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179"/>
      <c r="X49" s="95"/>
      <c r="Y49" s="95"/>
      <c r="Z49" s="95"/>
      <c r="AA49" s="95"/>
      <c r="AB49" s="95"/>
      <c r="AC49" s="95"/>
      <c r="AD49" s="95"/>
      <c r="AE49" s="95"/>
      <c r="AF49" s="95"/>
      <c r="AG49" s="95"/>
      <c r="AH49" s="95"/>
      <c r="AI49" s="95"/>
      <c r="AJ49" s="95"/>
      <c r="AK49" s="179"/>
      <c r="AL49" s="179"/>
      <c r="AM49" s="178"/>
      <c r="AN49" s="180"/>
      <c r="AO49" s="95"/>
      <c r="AP49" s="95"/>
      <c r="AQ49" s="95"/>
      <c r="AR49" s="95"/>
      <c r="AS49" s="95"/>
      <c r="AT49" s="95"/>
      <c r="AU49" s="95"/>
      <c r="AV49" s="95"/>
      <c r="AW49" s="95"/>
      <c r="AX49" s="95"/>
      <c r="AY49" s="95"/>
      <c r="AZ49" s="95"/>
      <c r="BA49" s="95"/>
      <c r="BB49" s="181"/>
      <c r="BC49" s="181"/>
      <c r="BD49" s="181"/>
      <c r="BE49" s="181"/>
      <c r="BF49" s="95"/>
      <c r="BG49" s="95"/>
      <c r="BH49" s="95"/>
      <c r="BI49" s="95"/>
      <c r="BJ49" s="95"/>
      <c r="BK49" s="95"/>
      <c r="BL49" s="95"/>
      <c r="BM49" s="95"/>
      <c r="BN49" s="95"/>
      <c r="BO49" s="95"/>
    </row>
    <row r="50" spans="2:67">
      <c r="B50" s="95"/>
      <c r="C50" s="95"/>
      <c r="D50" s="95"/>
      <c r="E50" s="177"/>
      <c r="F50" s="177"/>
      <c r="G50" s="95"/>
      <c r="H50" s="178"/>
      <c r="I50" s="95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179"/>
      <c r="X50" s="95"/>
      <c r="Y50" s="95"/>
      <c r="Z50" s="95"/>
      <c r="AA50" s="95"/>
      <c r="AB50" s="95"/>
      <c r="AC50" s="95"/>
      <c r="AD50" s="95"/>
      <c r="AE50" s="95"/>
      <c r="AF50" s="95"/>
      <c r="AG50" s="95"/>
      <c r="AH50" s="95"/>
      <c r="AI50" s="95"/>
      <c r="AJ50" s="95"/>
      <c r="AK50" s="179"/>
      <c r="AL50" s="179"/>
      <c r="AM50" s="178"/>
      <c r="AN50" s="180"/>
      <c r="AO50" s="95"/>
      <c r="AP50" s="95"/>
      <c r="AQ50" s="95"/>
      <c r="AR50" s="95"/>
      <c r="AS50" s="95"/>
      <c r="AT50" s="95"/>
      <c r="AU50" s="95"/>
      <c r="AV50" s="95"/>
      <c r="AW50" s="95"/>
      <c r="AX50" s="95"/>
      <c r="AY50" s="95"/>
      <c r="AZ50" s="95"/>
      <c r="BA50" s="95"/>
      <c r="BB50" s="181"/>
      <c r="BC50" s="181"/>
      <c r="BD50" s="181"/>
      <c r="BE50" s="181"/>
      <c r="BF50" s="95"/>
      <c r="BG50" s="95"/>
      <c r="BH50" s="95"/>
      <c r="BI50" s="95"/>
      <c r="BJ50" s="95"/>
      <c r="BK50" s="95"/>
      <c r="BL50" s="95"/>
      <c r="BM50" s="95"/>
      <c r="BN50" s="95"/>
      <c r="BO50" s="95"/>
    </row>
    <row r="51" spans="2:67">
      <c r="B51" s="95"/>
      <c r="C51" s="95"/>
      <c r="D51" s="95"/>
      <c r="E51" s="177"/>
      <c r="F51" s="177"/>
      <c r="G51" s="95"/>
      <c r="H51" s="178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179"/>
      <c r="X51" s="95"/>
      <c r="Y51" s="95"/>
      <c r="Z51" s="95"/>
      <c r="AA51" s="95"/>
      <c r="AB51" s="95"/>
      <c r="AC51" s="95"/>
      <c r="AD51" s="95"/>
      <c r="AE51" s="95"/>
      <c r="AF51" s="95"/>
      <c r="AG51" s="95"/>
      <c r="AH51" s="95"/>
      <c r="AI51" s="95"/>
      <c r="AJ51" s="95"/>
      <c r="AK51" s="179"/>
      <c r="AL51" s="179"/>
      <c r="AM51" s="178"/>
      <c r="AN51" s="180"/>
      <c r="AO51" s="95"/>
      <c r="AP51" s="95"/>
      <c r="AQ51" s="95"/>
      <c r="AR51" s="95"/>
      <c r="AS51" s="95"/>
      <c r="AT51" s="95"/>
      <c r="AU51" s="95"/>
      <c r="AV51" s="95"/>
      <c r="AW51" s="95"/>
      <c r="AX51" s="95"/>
      <c r="AY51" s="95"/>
      <c r="AZ51" s="95"/>
      <c r="BA51" s="95"/>
      <c r="BB51" s="181"/>
      <c r="BC51" s="181"/>
      <c r="BD51" s="181"/>
      <c r="BE51" s="181"/>
      <c r="BF51" s="95"/>
      <c r="BG51" s="95"/>
      <c r="BH51" s="95"/>
      <c r="BI51" s="95"/>
      <c r="BJ51" s="95"/>
      <c r="BK51" s="95"/>
      <c r="BL51" s="95"/>
      <c r="BM51" s="95"/>
      <c r="BN51" s="95"/>
      <c r="BO51" s="95"/>
    </row>
    <row r="52" spans="2:67">
      <c r="B52" s="95"/>
      <c r="C52" s="95"/>
      <c r="D52" s="95"/>
      <c r="E52" s="177"/>
      <c r="F52" s="177"/>
      <c r="G52" s="95"/>
      <c r="H52" s="178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179"/>
      <c r="X52" s="95"/>
      <c r="Y52" s="95"/>
      <c r="Z52" s="95"/>
      <c r="AA52" s="95"/>
      <c r="AB52" s="95"/>
      <c r="AC52" s="95"/>
      <c r="AD52" s="95"/>
      <c r="AE52" s="95"/>
      <c r="AF52" s="95"/>
      <c r="AG52" s="95"/>
      <c r="AH52" s="95"/>
      <c r="AI52" s="95"/>
      <c r="AJ52" s="95"/>
      <c r="AK52" s="179"/>
      <c r="AL52" s="179"/>
      <c r="AM52" s="178"/>
      <c r="AN52" s="180"/>
      <c r="AO52" s="95"/>
      <c r="AP52" s="95"/>
      <c r="AQ52" s="95"/>
      <c r="AR52" s="95"/>
      <c r="AS52" s="95"/>
      <c r="AT52" s="95"/>
      <c r="AU52" s="95"/>
      <c r="AV52" s="95"/>
      <c r="AW52" s="95"/>
      <c r="AX52" s="95"/>
      <c r="AY52" s="95"/>
      <c r="AZ52" s="95"/>
      <c r="BA52" s="95"/>
      <c r="BB52" s="181"/>
      <c r="BC52" s="181"/>
      <c r="BD52" s="181"/>
      <c r="BE52" s="181"/>
      <c r="BF52" s="95"/>
      <c r="BG52" s="95"/>
      <c r="BH52" s="95"/>
      <c r="BI52" s="95"/>
      <c r="BJ52" s="95"/>
      <c r="BK52" s="95"/>
      <c r="BL52" s="95"/>
      <c r="BM52" s="95"/>
      <c r="BN52" s="95"/>
      <c r="BO52" s="95"/>
    </row>
    <row r="53" spans="2:67">
      <c r="B53" s="95"/>
      <c r="C53" s="95"/>
      <c r="D53" s="95"/>
      <c r="E53" s="177"/>
      <c r="F53" s="177"/>
      <c r="G53" s="95"/>
      <c r="H53" s="178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179"/>
      <c r="X53" s="95"/>
      <c r="Y53" s="95"/>
      <c r="Z53" s="95"/>
      <c r="AA53" s="95"/>
      <c r="AB53" s="95"/>
      <c r="AC53" s="95"/>
      <c r="AD53" s="95"/>
      <c r="AE53" s="95"/>
      <c r="AF53" s="95"/>
      <c r="AG53" s="95"/>
      <c r="AH53" s="95"/>
      <c r="AI53" s="95"/>
      <c r="AJ53" s="95"/>
      <c r="AK53" s="179"/>
      <c r="AL53" s="179"/>
      <c r="AM53" s="178"/>
      <c r="AN53" s="180"/>
      <c r="AO53" s="95"/>
      <c r="AP53" s="95"/>
      <c r="AQ53" s="95"/>
      <c r="AR53" s="95"/>
      <c r="AS53" s="95"/>
      <c r="AT53" s="95"/>
      <c r="AU53" s="95"/>
      <c r="AV53" s="95"/>
      <c r="AW53" s="95"/>
      <c r="AX53" s="95"/>
      <c r="AY53" s="95"/>
      <c r="AZ53" s="95"/>
      <c r="BA53" s="95"/>
      <c r="BB53" s="181"/>
      <c r="BC53" s="181"/>
      <c r="BD53" s="181"/>
      <c r="BE53" s="181"/>
      <c r="BF53" s="95"/>
      <c r="BG53" s="95"/>
      <c r="BH53" s="95"/>
      <c r="BI53" s="95"/>
      <c r="BJ53" s="95"/>
      <c r="BK53" s="95"/>
      <c r="BL53" s="95"/>
      <c r="BM53" s="95"/>
      <c r="BN53" s="95"/>
      <c r="BO53" s="95"/>
    </row>
    <row r="54" spans="2:67">
      <c r="B54" s="95"/>
      <c r="C54" s="95"/>
      <c r="D54" s="95"/>
      <c r="E54" s="177"/>
      <c r="F54" s="177"/>
      <c r="G54" s="95"/>
      <c r="H54" s="178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179"/>
      <c r="X54" s="95"/>
      <c r="Y54" s="95"/>
      <c r="Z54" s="95"/>
      <c r="AA54" s="95"/>
      <c r="AB54" s="95"/>
      <c r="AC54" s="95"/>
      <c r="AD54" s="95"/>
      <c r="AE54" s="95"/>
      <c r="AF54" s="95"/>
      <c r="AG54" s="95"/>
      <c r="AH54" s="95"/>
      <c r="AI54" s="95"/>
      <c r="AJ54" s="95"/>
      <c r="AK54" s="179"/>
      <c r="AL54" s="179"/>
      <c r="AM54" s="178"/>
      <c r="AN54" s="180"/>
      <c r="AO54" s="95"/>
      <c r="AP54" s="95"/>
      <c r="AQ54" s="95"/>
      <c r="AR54" s="95"/>
      <c r="AS54" s="95"/>
      <c r="AT54" s="95"/>
      <c r="AU54" s="95"/>
      <c r="AV54" s="95"/>
      <c r="AW54" s="95"/>
      <c r="AX54" s="95"/>
      <c r="AY54" s="95"/>
      <c r="AZ54" s="95"/>
      <c r="BA54" s="95"/>
      <c r="BB54" s="181"/>
      <c r="BC54" s="181"/>
      <c r="BD54" s="181"/>
      <c r="BE54" s="181"/>
      <c r="BF54" s="95"/>
      <c r="BG54" s="95"/>
      <c r="BH54" s="95"/>
      <c r="BI54" s="95"/>
      <c r="BJ54" s="95"/>
      <c r="BK54" s="95"/>
      <c r="BL54" s="95"/>
      <c r="BM54" s="95"/>
      <c r="BN54" s="95"/>
      <c r="BO54" s="95"/>
    </row>
    <row r="55" spans="2:67">
      <c r="B55" s="95"/>
      <c r="C55" s="95"/>
      <c r="D55" s="95"/>
      <c r="E55" s="177"/>
      <c r="F55" s="177"/>
      <c r="G55" s="95"/>
      <c r="H55" s="178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179"/>
      <c r="X55" s="95"/>
      <c r="Y55" s="95"/>
      <c r="Z55" s="95"/>
      <c r="AA55" s="95"/>
      <c r="AB55" s="95"/>
      <c r="AC55" s="95"/>
      <c r="AD55" s="95"/>
      <c r="AE55" s="95"/>
      <c r="AF55" s="95"/>
      <c r="AG55" s="95"/>
      <c r="AH55" s="95"/>
      <c r="AI55" s="95"/>
      <c r="AJ55" s="95"/>
      <c r="AK55" s="179"/>
      <c r="AL55" s="179"/>
      <c r="AM55" s="178"/>
      <c r="AN55" s="180"/>
      <c r="AO55" s="95"/>
      <c r="AP55" s="95"/>
      <c r="AQ55" s="95"/>
      <c r="AR55" s="95"/>
      <c r="AS55" s="95"/>
      <c r="AT55" s="95"/>
      <c r="AU55" s="95"/>
      <c r="AV55" s="95"/>
      <c r="AW55" s="95"/>
      <c r="AX55" s="95"/>
      <c r="AY55" s="95"/>
      <c r="AZ55" s="95"/>
      <c r="BA55" s="95"/>
      <c r="BB55" s="181"/>
      <c r="BC55" s="181"/>
      <c r="BD55" s="181"/>
      <c r="BE55" s="181"/>
      <c r="BF55" s="95"/>
      <c r="BG55" s="95"/>
      <c r="BH55" s="95"/>
      <c r="BI55" s="95"/>
      <c r="BJ55" s="95"/>
      <c r="BK55" s="95"/>
      <c r="BL55" s="95"/>
      <c r="BM55" s="95"/>
      <c r="BN55" s="95"/>
      <c r="BO55" s="95"/>
    </row>
    <row r="56" spans="2:67">
      <c r="B56" s="95"/>
      <c r="C56" s="95"/>
      <c r="D56" s="95"/>
      <c r="E56" s="177"/>
      <c r="F56" s="177"/>
      <c r="G56" s="95"/>
      <c r="H56" s="178"/>
      <c r="I56" s="95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179"/>
      <c r="X56" s="95"/>
      <c r="Y56" s="95"/>
      <c r="Z56" s="95"/>
      <c r="AA56" s="95"/>
      <c r="AB56" s="95"/>
      <c r="AC56" s="95"/>
      <c r="AD56" s="95"/>
      <c r="AE56" s="95"/>
      <c r="AF56" s="95"/>
      <c r="AG56" s="95"/>
      <c r="AH56" s="95"/>
      <c r="AI56" s="95"/>
      <c r="AJ56" s="95"/>
      <c r="AK56" s="179"/>
      <c r="AL56" s="179"/>
      <c r="AM56" s="178"/>
      <c r="AN56" s="180"/>
      <c r="AO56" s="95"/>
      <c r="AP56" s="95"/>
      <c r="AQ56" s="95"/>
      <c r="AR56" s="95"/>
      <c r="AS56" s="95"/>
      <c r="AT56" s="95"/>
      <c r="AU56" s="95"/>
      <c r="AV56" s="95"/>
      <c r="AW56" s="95"/>
      <c r="AX56" s="95"/>
      <c r="AY56" s="95"/>
      <c r="AZ56" s="95"/>
      <c r="BA56" s="95"/>
      <c r="BB56" s="181"/>
      <c r="BC56" s="181"/>
      <c r="BD56" s="181"/>
      <c r="BE56" s="181"/>
      <c r="BF56" s="95"/>
      <c r="BG56" s="95"/>
      <c r="BH56" s="95"/>
      <c r="BI56" s="95"/>
      <c r="BJ56" s="95"/>
      <c r="BK56" s="95"/>
      <c r="BL56" s="95"/>
      <c r="BM56" s="95"/>
      <c r="BN56" s="95"/>
      <c r="BO56" s="95"/>
    </row>
    <row r="57" spans="2:67">
      <c r="B57" s="95"/>
      <c r="C57" s="95"/>
      <c r="D57" s="95"/>
      <c r="E57" s="177"/>
      <c r="F57" s="177"/>
      <c r="G57" s="95"/>
      <c r="H57" s="178"/>
      <c r="I57" s="95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179"/>
      <c r="X57" s="95"/>
      <c r="Y57" s="95"/>
      <c r="Z57" s="95"/>
      <c r="AA57" s="95"/>
      <c r="AB57" s="95"/>
      <c r="AC57" s="95"/>
      <c r="AD57" s="95"/>
      <c r="AE57" s="95"/>
      <c r="AF57" s="95"/>
      <c r="AG57" s="95"/>
      <c r="AH57" s="95"/>
      <c r="AI57" s="95"/>
      <c r="AJ57" s="95"/>
      <c r="AK57" s="179"/>
      <c r="AL57" s="179"/>
      <c r="AM57" s="178"/>
      <c r="AN57" s="180"/>
      <c r="AO57" s="95"/>
      <c r="AP57" s="95"/>
      <c r="AQ57" s="95"/>
      <c r="AR57" s="95"/>
      <c r="AS57" s="95"/>
      <c r="AT57" s="95"/>
      <c r="AU57" s="95"/>
      <c r="AV57" s="95"/>
      <c r="AW57" s="95"/>
      <c r="AX57" s="95"/>
      <c r="AY57" s="95"/>
      <c r="AZ57" s="95"/>
      <c r="BA57" s="95"/>
      <c r="BB57" s="181"/>
      <c r="BC57" s="181"/>
      <c r="BD57" s="181"/>
      <c r="BE57" s="181"/>
      <c r="BF57" s="95"/>
      <c r="BG57" s="95"/>
      <c r="BH57" s="95"/>
      <c r="BI57" s="95"/>
      <c r="BJ57" s="95"/>
      <c r="BK57" s="95"/>
      <c r="BL57" s="95"/>
      <c r="BM57" s="95"/>
      <c r="BN57" s="95"/>
      <c r="BO57" s="95"/>
    </row>
    <row r="58" spans="2:67">
      <c r="B58" s="95"/>
      <c r="C58" s="95"/>
      <c r="D58" s="95"/>
      <c r="E58" s="177"/>
      <c r="F58" s="177"/>
      <c r="G58" s="95"/>
      <c r="H58" s="178"/>
      <c r="I58" s="95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179"/>
      <c r="X58" s="95"/>
      <c r="Y58" s="95"/>
      <c r="Z58" s="95"/>
      <c r="AA58" s="95"/>
      <c r="AB58" s="95"/>
      <c r="AC58" s="95"/>
      <c r="AD58" s="95"/>
      <c r="AE58" s="95"/>
      <c r="AF58" s="95"/>
      <c r="AG58" s="95"/>
      <c r="AH58" s="95"/>
      <c r="AI58" s="95"/>
      <c r="AJ58" s="95"/>
      <c r="AK58" s="179"/>
      <c r="AL58" s="179"/>
      <c r="AM58" s="178"/>
      <c r="AN58" s="180"/>
      <c r="AO58" s="95"/>
      <c r="AP58" s="95"/>
      <c r="AQ58" s="95"/>
      <c r="AR58" s="95"/>
      <c r="AS58" s="95"/>
      <c r="AT58" s="95"/>
      <c r="AU58" s="95"/>
      <c r="AV58" s="95"/>
      <c r="AW58" s="95"/>
      <c r="AX58" s="95"/>
      <c r="AY58" s="95"/>
      <c r="AZ58" s="95"/>
      <c r="BA58" s="95"/>
      <c r="BB58" s="181"/>
      <c r="BC58" s="181"/>
      <c r="BD58" s="181"/>
      <c r="BE58" s="181"/>
      <c r="BF58" s="95"/>
      <c r="BG58" s="95"/>
      <c r="BH58" s="95"/>
      <c r="BI58" s="95"/>
      <c r="BJ58" s="95"/>
      <c r="BK58" s="95"/>
      <c r="BL58" s="95"/>
      <c r="BM58" s="95"/>
      <c r="BN58" s="95"/>
      <c r="BO58" s="95"/>
    </row>
    <row r="59" spans="2:67">
      <c r="B59" s="95"/>
      <c r="C59" s="95"/>
      <c r="D59" s="95"/>
      <c r="E59" s="177"/>
      <c r="F59" s="177"/>
      <c r="G59" s="95"/>
      <c r="H59" s="178"/>
      <c r="I59" s="95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179"/>
      <c r="X59" s="95"/>
      <c r="Y59" s="95"/>
      <c r="Z59" s="95"/>
      <c r="AA59" s="95"/>
      <c r="AB59" s="95"/>
      <c r="AC59" s="95"/>
      <c r="AD59" s="95"/>
      <c r="AE59" s="95"/>
      <c r="AF59" s="95"/>
      <c r="AG59" s="95"/>
      <c r="AH59" s="95"/>
      <c r="AI59" s="95"/>
      <c r="AJ59" s="95"/>
      <c r="AK59" s="179"/>
      <c r="AL59" s="179"/>
      <c r="AM59" s="178"/>
      <c r="AN59" s="180"/>
      <c r="AO59" s="95"/>
      <c r="AP59" s="95"/>
      <c r="AQ59" s="95"/>
      <c r="AR59" s="95"/>
      <c r="AS59" s="95"/>
      <c r="AT59" s="95"/>
      <c r="AU59" s="95"/>
      <c r="AV59" s="95"/>
      <c r="AW59" s="95"/>
      <c r="AX59" s="95"/>
      <c r="AY59" s="95"/>
      <c r="AZ59" s="95"/>
      <c r="BA59" s="95"/>
      <c r="BB59" s="181"/>
      <c r="BC59" s="181"/>
      <c r="BD59" s="181"/>
      <c r="BE59" s="181"/>
      <c r="BF59" s="95"/>
      <c r="BG59" s="95"/>
      <c r="BH59" s="95"/>
      <c r="BI59" s="95"/>
      <c r="BJ59" s="95"/>
      <c r="BK59" s="95"/>
      <c r="BL59" s="95"/>
      <c r="BM59" s="95"/>
      <c r="BN59" s="95"/>
      <c r="BO59" s="95"/>
    </row>
    <row r="60" spans="2:67">
      <c r="B60" s="95"/>
      <c r="C60" s="95"/>
      <c r="D60" s="95"/>
      <c r="E60" s="177"/>
      <c r="F60" s="177"/>
      <c r="G60" s="95"/>
      <c r="H60" s="178"/>
      <c r="I60" s="95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179"/>
      <c r="X60" s="95"/>
      <c r="Y60" s="95"/>
      <c r="Z60" s="95"/>
      <c r="AA60" s="95"/>
      <c r="AB60" s="95"/>
      <c r="AC60" s="95"/>
      <c r="AD60" s="95"/>
      <c r="AE60" s="95"/>
      <c r="AF60" s="95"/>
      <c r="AG60" s="95"/>
      <c r="AH60" s="95"/>
      <c r="AI60" s="95"/>
      <c r="AJ60" s="95"/>
      <c r="AK60" s="179"/>
      <c r="AL60" s="179"/>
      <c r="AM60" s="178"/>
      <c r="AN60" s="180"/>
      <c r="AO60" s="95"/>
      <c r="AP60" s="95"/>
      <c r="AQ60" s="95"/>
      <c r="AR60" s="95"/>
      <c r="AS60" s="95"/>
      <c r="AT60" s="95"/>
      <c r="AU60" s="95"/>
      <c r="AV60" s="95"/>
      <c r="AW60" s="95"/>
      <c r="AX60" s="95"/>
      <c r="AY60" s="95"/>
      <c r="AZ60" s="95"/>
      <c r="BA60" s="95"/>
      <c r="BB60" s="181"/>
      <c r="BC60" s="181"/>
      <c r="BD60" s="181"/>
      <c r="BE60" s="181"/>
      <c r="BF60" s="95"/>
      <c r="BG60" s="95"/>
      <c r="BH60" s="95"/>
      <c r="BI60" s="95"/>
      <c r="BJ60" s="95"/>
      <c r="BK60" s="95"/>
      <c r="BL60" s="95"/>
      <c r="BM60" s="95"/>
      <c r="BN60" s="95"/>
      <c r="BO60" s="95"/>
    </row>
    <row r="61" spans="2:67">
      <c r="B61" s="95"/>
      <c r="C61" s="95"/>
      <c r="D61" s="95"/>
      <c r="E61" s="177"/>
      <c r="F61" s="177"/>
      <c r="G61" s="95"/>
      <c r="H61" s="178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179"/>
      <c r="X61" s="95"/>
      <c r="Y61" s="95"/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179"/>
      <c r="AL61" s="179"/>
      <c r="AM61" s="178"/>
      <c r="AN61" s="180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181"/>
      <c r="BC61" s="181"/>
      <c r="BD61" s="181"/>
      <c r="BE61" s="181"/>
      <c r="BF61" s="95"/>
      <c r="BG61" s="95"/>
      <c r="BH61" s="95"/>
      <c r="BI61" s="95"/>
      <c r="BJ61" s="95"/>
      <c r="BK61" s="95"/>
      <c r="BL61" s="95"/>
      <c r="BM61" s="95"/>
      <c r="BN61" s="95"/>
      <c r="BO61" s="95"/>
    </row>
    <row r="62" spans="2:67">
      <c r="B62" s="95"/>
      <c r="C62" s="95"/>
      <c r="D62" s="95"/>
      <c r="E62" s="177"/>
      <c r="F62" s="177"/>
      <c r="G62" s="95"/>
      <c r="H62" s="178"/>
      <c r="I62" s="95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179"/>
      <c r="X62" s="95"/>
      <c r="Y62" s="95"/>
      <c r="Z62" s="95"/>
      <c r="AA62" s="95"/>
      <c r="AB62" s="95"/>
      <c r="AC62" s="95"/>
      <c r="AD62" s="95"/>
      <c r="AE62" s="95"/>
      <c r="AF62" s="95"/>
      <c r="AG62" s="95"/>
      <c r="AH62" s="95"/>
      <c r="AI62" s="95"/>
      <c r="AJ62" s="95"/>
      <c r="AK62" s="179"/>
      <c r="AL62" s="179"/>
      <c r="AM62" s="178"/>
      <c r="AN62" s="180"/>
      <c r="AO62" s="95"/>
      <c r="AP62" s="95"/>
      <c r="AQ62" s="95"/>
      <c r="AR62" s="95"/>
      <c r="AS62" s="95"/>
      <c r="AT62" s="95"/>
      <c r="AU62" s="95"/>
      <c r="AV62" s="95"/>
      <c r="AW62" s="95"/>
      <c r="AX62" s="95"/>
      <c r="AY62" s="95"/>
      <c r="AZ62" s="95"/>
      <c r="BA62" s="95"/>
      <c r="BB62" s="181"/>
      <c r="BC62" s="181"/>
      <c r="BD62" s="181"/>
      <c r="BE62" s="181"/>
      <c r="BF62" s="95"/>
      <c r="BG62" s="95"/>
      <c r="BH62" s="95"/>
      <c r="BI62" s="95"/>
      <c r="BJ62" s="95"/>
      <c r="BK62" s="95"/>
      <c r="BL62" s="95"/>
      <c r="BM62" s="95"/>
      <c r="BN62" s="95"/>
      <c r="BO62" s="95"/>
    </row>
    <row r="63" spans="2:67">
      <c r="B63" s="95"/>
      <c r="C63" s="95"/>
      <c r="D63" s="95"/>
      <c r="E63" s="177"/>
      <c r="F63" s="177"/>
      <c r="G63" s="95"/>
      <c r="H63" s="178"/>
      <c r="I63" s="95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179"/>
      <c r="X63" s="95"/>
      <c r="Y63" s="95"/>
      <c r="Z63" s="95"/>
      <c r="AA63" s="95"/>
      <c r="AB63" s="95"/>
      <c r="AC63" s="95"/>
      <c r="AD63" s="95"/>
      <c r="AE63" s="95"/>
      <c r="AF63" s="95"/>
      <c r="AG63" s="95"/>
      <c r="AH63" s="95"/>
      <c r="AI63" s="95"/>
      <c r="AJ63" s="95"/>
      <c r="AK63" s="179"/>
      <c r="AL63" s="179"/>
      <c r="AM63" s="178"/>
      <c r="AN63" s="180"/>
      <c r="AO63" s="95"/>
      <c r="AP63" s="95"/>
      <c r="AQ63" s="95"/>
      <c r="AR63" s="95"/>
      <c r="AS63" s="95"/>
      <c r="AT63" s="95"/>
      <c r="AU63" s="95"/>
      <c r="AV63" s="95"/>
      <c r="AW63" s="95"/>
      <c r="AX63" s="95"/>
      <c r="AY63" s="95"/>
      <c r="AZ63" s="95"/>
      <c r="BA63" s="95"/>
      <c r="BB63" s="181"/>
      <c r="BC63" s="181"/>
      <c r="BD63" s="181"/>
      <c r="BE63" s="181"/>
      <c r="BF63" s="95"/>
      <c r="BG63" s="95"/>
      <c r="BH63" s="95"/>
      <c r="BI63" s="95"/>
      <c r="BJ63" s="95"/>
      <c r="BK63" s="95"/>
      <c r="BL63" s="95"/>
      <c r="BM63" s="95"/>
      <c r="BN63" s="95"/>
      <c r="BO63" s="95"/>
    </row>
    <row r="64" spans="2:67">
      <c r="B64" s="95"/>
      <c r="C64" s="95"/>
      <c r="D64" s="95"/>
      <c r="E64" s="177"/>
      <c r="F64" s="177"/>
      <c r="G64" s="95"/>
      <c r="H64" s="178"/>
      <c r="I64" s="95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179"/>
      <c r="X64" s="95"/>
      <c r="Y64" s="95"/>
      <c r="Z64" s="95"/>
      <c r="AA64" s="95"/>
      <c r="AB64" s="95"/>
      <c r="AC64" s="95"/>
      <c r="AD64" s="95"/>
      <c r="AE64" s="95"/>
      <c r="AF64" s="95"/>
      <c r="AG64" s="95"/>
      <c r="AH64" s="95"/>
      <c r="AI64" s="95"/>
      <c r="AJ64" s="95"/>
      <c r="AK64" s="179"/>
      <c r="AL64" s="179"/>
      <c r="AM64" s="178"/>
      <c r="AN64" s="180"/>
      <c r="AO64" s="95"/>
      <c r="AP64" s="95"/>
      <c r="AQ64" s="95"/>
      <c r="AR64" s="95"/>
      <c r="AS64" s="95"/>
      <c r="AT64" s="95"/>
      <c r="AU64" s="95"/>
      <c r="AV64" s="95"/>
      <c r="AW64" s="95"/>
      <c r="AX64" s="95"/>
      <c r="AY64" s="95"/>
      <c r="AZ64" s="95"/>
      <c r="BA64" s="95"/>
      <c r="BB64" s="181"/>
      <c r="BC64" s="181"/>
      <c r="BD64" s="181"/>
      <c r="BE64" s="181"/>
      <c r="BF64" s="95"/>
      <c r="BG64" s="95"/>
      <c r="BH64" s="95"/>
      <c r="BI64" s="95"/>
      <c r="BJ64" s="95"/>
      <c r="BK64" s="95"/>
      <c r="BL64" s="95"/>
      <c r="BM64" s="95"/>
      <c r="BN64" s="95"/>
      <c r="BO64" s="95"/>
    </row>
    <row r="65" spans="2:67">
      <c r="B65" s="95"/>
      <c r="C65" s="95"/>
      <c r="D65" s="95"/>
      <c r="E65" s="177"/>
      <c r="F65" s="177"/>
      <c r="G65" s="95"/>
      <c r="H65" s="178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179"/>
      <c r="X65" s="95"/>
      <c r="Y65" s="95"/>
      <c r="Z65" s="95"/>
      <c r="AA65" s="95"/>
      <c r="AB65" s="95"/>
      <c r="AC65" s="95"/>
      <c r="AD65" s="95"/>
      <c r="AE65" s="95"/>
      <c r="AF65" s="95"/>
      <c r="AG65" s="95"/>
      <c r="AH65" s="95"/>
      <c r="AI65" s="95"/>
      <c r="AJ65" s="95"/>
      <c r="AK65" s="179"/>
      <c r="AL65" s="179"/>
      <c r="AM65" s="178"/>
      <c r="AN65" s="180"/>
      <c r="AO65" s="95"/>
      <c r="AP65" s="95"/>
      <c r="AQ65" s="95"/>
      <c r="AR65" s="95"/>
      <c r="AS65" s="95"/>
      <c r="AT65" s="95"/>
      <c r="AU65" s="95"/>
      <c r="AV65" s="95"/>
      <c r="AW65" s="95"/>
      <c r="AX65" s="95"/>
      <c r="AY65" s="95"/>
      <c r="AZ65" s="95"/>
      <c r="BA65" s="95"/>
      <c r="BB65" s="181"/>
      <c r="BC65" s="181"/>
      <c r="BD65" s="181"/>
      <c r="BE65" s="181"/>
      <c r="BF65" s="95"/>
      <c r="BG65" s="95"/>
      <c r="BH65" s="95"/>
      <c r="BI65" s="95"/>
      <c r="BJ65" s="95"/>
      <c r="BK65" s="95"/>
      <c r="BL65" s="95"/>
      <c r="BM65" s="95"/>
      <c r="BN65" s="95"/>
      <c r="BO65" s="95"/>
    </row>
    <row r="66" spans="2:67">
      <c r="B66" s="95"/>
      <c r="C66" s="95"/>
      <c r="D66" s="95"/>
      <c r="E66" s="177"/>
      <c r="F66" s="177"/>
      <c r="G66" s="95"/>
      <c r="H66" s="178"/>
      <c r="I66" s="95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179"/>
      <c r="X66" s="95"/>
      <c r="Y66" s="95"/>
      <c r="Z66" s="95"/>
      <c r="AA66" s="95"/>
      <c r="AB66" s="95"/>
      <c r="AC66" s="95"/>
      <c r="AD66" s="95"/>
      <c r="AE66" s="95"/>
      <c r="AF66" s="95"/>
      <c r="AG66" s="95"/>
      <c r="AH66" s="95"/>
      <c r="AI66" s="95"/>
      <c r="AJ66" s="95"/>
      <c r="AK66" s="179"/>
      <c r="AL66" s="179"/>
      <c r="AM66" s="178"/>
      <c r="AN66" s="180"/>
      <c r="AO66" s="95"/>
      <c r="AP66" s="95"/>
      <c r="AQ66" s="95"/>
      <c r="AR66" s="95"/>
      <c r="AS66" s="95"/>
      <c r="AT66" s="95"/>
      <c r="AU66" s="95"/>
      <c r="AV66" s="95"/>
      <c r="AW66" s="95"/>
      <c r="AX66" s="95"/>
      <c r="AY66" s="95"/>
      <c r="AZ66" s="95"/>
      <c r="BA66" s="95"/>
      <c r="BB66" s="181"/>
      <c r="BC66" s="181"/>
      <c r="BD66" s="181"/>
      <c r="BE66" s="181"/>
      <c r="BF66" s="95"/>
      <c r="BG66" s="95"/>
      <c r="BH66" s="95"/>
      <c r="BI66" s="95"/>
      <c r="BJ66" s="95"/>
      <c r="BK66" s="95"/>
      <c r="BL66" s="95"/>
      <c r="BM66" s="95"/>
      <c r="BN66" s="95"/>
      <c r="BO66" s="95"/>
    </row>
    <row r="67" spans="2:67">
      <c r="B67" s="95"/>
      <c r="C67" s="95"/>
      <c r="D67" s="95"/>
      <c r="E67" s="177"/>
      <c r="F67" s="177"/>
      <c r="G67" s="95"/>
      <c r="H67" s="178"/>
      <c r="I67" s="95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179"/>
      <c r="X67" s="95"/>
      <c r="Y67" s="95"/>
      <c r="Z67" s="95"/>
      <c r="AA67" s="95"/>
      <c r="AB67" s="95"/>
      <c r="AC67" s="95"/>
      <c r="AD67" s="95"/>
      <c r="AE67" s="95"/>
      <c r="AF67" s="95"/>
      <c r="AG67" s="95"/>
      <c r="AH67" s="95"/>
      <c r="AI67" s="95"/>
      <c r="AJ67" s="95"/>
      <c r="AK67" s="179"/>
      <c r="AL67" s="179"/>
      <c r="AM67" s="178"/>
      <c r="AN67" s="180"/>
      <c r="AO67" s="95"/>
      <c r="AP67" s="95"/>
      <c r="AQ67" s="95"/>
      <c r="AR67" s="95"/>
      <c r="AS67" s="95"/>
      <c r="AT67" s="95"/>
      <c r="AU67" s="95"/>
      <c r="AV67" s="95"/>
      <c r="AW67" s="95"/>
      <c r="AX67" s="95"/>
      <c r="AY67" s="95"/>
      <c r="AZ67" s="95"/>
      <c r="BA67" s="95"/>
      <c r="BB67" s="181"/>
      <c r="BC67" s="181"/>
      <c r="BD67" s="181"/>
      <c r="BE67" s="181"/>
      <c r="BF67" s="95"/>
      <c r="BG67" s="95"/>
      <c r="BH67" s="95"/>
      <c r="BI67" s="95"/>
      <c r="BJ67" s="95"/>
      <c r="BK67" s="95"/>
      <c r="BL67" s="95"/>
      <c r="BM67" s="95"/>
      <c r="BN67" s="95"/>
      <c r="BO67" s="95"/>
    </row>
    <row r="68" spans="2:67">
      <c r="B68" s="95"/>
      <c r="C68" s="95"/>
      <c r="D68" s="95"/>
      <c r="E68" s="177"/>
      <c r="F68" s="177"/>
      <c r="G68" s="95"/>
      <c r="H68" s="178"/>
      <c r="I68" s="95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179"/>
      <c r="X68" s="95"/>
      <c r="Y68" s="95"/>
      <c r="Z68" s="95"/>
      <c r="AA68" s="95"/>
      <c r="AB68" s="95"/>
      <c r="AC68" s="95"/>
      <c r="AD68" s="95"/>
      <c r="AE68" s="95"/>
      <c r="AF68" s="95"/>
      <c r="AG68" s="95"/>
      <c r="AH68" s="95"/>
      <c r="AI68" s="95"/>
      <c r="AJ68" s="95"/>
      <c r="AK68" s="179"/>
      <c r="AL68" s="179"/>
      <c r="AM68" s="178"/>
      <c r="AN68" s="180"/>
      <c r="AO68" s="95"/>
      <c r="AP68" s="95"/>
      <c r="AQ68" s="95"/>
      <c r="AR68" s="95"/>
      <c r="AS68" s="95"/>
      <c r="AT68" s="95"/>
      <c r="AU68" s="95"/>
      <c r="AV68" s="95"/>
      <c r="AW68" s="95"/>
      <c r="AX68" s="95"/>
      <c r="AY68" s="95"/>
      <c r="AZ68" s="95"/>
      <c r="BA68" s="95"/>
      <c r="BB68" s="181"/>
      <c r="BC68" s="181"/>
      <c r="BD68" s="181"/>
      <c r="BE68" s="181"/>
      <c r="BF68" s="95"/>
      <c r="BG68" s="95"/>
      <c r="BH68" s="95"/>
      <c r="BI68" s="95"/>
      <c r="BJ68" s="95"/>
      <c r="BK68" s="95"/>
      <c r="BL68" s="95"/>
      <c r="BM68" s="95"/>
      <c r="BN68" s="95"/>
      <c r="BO68" s="95"/>
    </row>
    <row r="69" spans="2:67">
      <c r="B69" s="95"/>
      <c r="C69" s="95"/>
      <c r="D69" s="95"/>
      <c r="E69" s="177"/>
      <c r="F69" s="177"/>
      <c r="G69" s="95"/>
      <c r="H69" s="178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179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179"/>
      <c r="AL69" s="179"/>
      <c r="AM69" s="178"/>
      <c r="AN69" s="180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181"/>
      <c r="BC69" s="181"/>
      <c r="BD69" s="181"/>
      <c r="BE69" s="181"/>
      <c r="BF69" s="95"/>
      <c r="BG69" s="95"/>
      <c r="BH69" s="95"/>
      <c r="BI69" s="95"/>
      <c r="BJ69" s="95"/>
      <c r="BK69" s="95"/>
      <c r="BL69" s="95"/>
      <c r="BM69" s="95"/>
      <c r="BN69" s="95"/>
      <c r="BO69" s="95"/>
    </row>
    <row r="70" spans="2:67">
      <c r="B70" s="95"/>
      <c r="C70" s="95"/>
      <c r="D70" s="95"/>
      <c r="E70" s="177"/>
      <c r="F70" s="177"/>
      <c r="G70" s="95"/>
      <c r="H70" s="178"/>
      <c r="I70" s="95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179"/>
      <c r="X70" s="95"/>
      <c r="Y70" s="95"/>
      <c r="Z70" s="95"/>
      <c r="AA70" s="95"/>
      <c r="AB70" s="95"/>
      <c r="AC70" s="95"/>
      <c r="AD70" s="95"/>
      <c r="AE70" s="95"/>
      <c r="AF70" s="95"/>
      <c r="AG70" s="95"/>
      <c r="AH70" s="95"/>
      <c r="AI70" s="95"/>
      <c r="AJ70" s="95"/>
      <c r="AK70" s="179"/>
      <c r="AL70" s="179"/>
      <c r="AM70" s="178"/>
      <c r="AN70" s="180"/>
      <c r="AO70" s="95"/>
      <c r="AP70" s="95"/>
      <c r="AQ70" s="95"/>
      <c r="AR70" s="95"/>
      <c r="AS70" s="95"/>
      <c r="AT70" s="95"/>
      <c r="AU70" s="95"/>
      <c r="AV70" s="95"/>
      <c r="AW70" s="95"/>
      <c r="AX70" s="95"/>
      <c r="AY70" s="95"/>
      <c r="AZ70" s="95"/>
      <c r="BA70" s="95"/>
      <c r="BB70" s="181"/>
      <c r="BC70" s="181"/>
      <c r="BD70" s="181"/>
      <c r="BE70" s="181"/>
      <c r="BF70" s="95"/>
      <c r="BG70" s="95"/>
      <c r="BH70" s="95"/>
      <c r="BI70" s="95"/>
      <c r="BJ70" s="95"/>
      <c r="BK70" s="95"/>
      <c r="BL70" s="95"/>
      <c r="BM70" s="95"/>
      <c r="BN70" s="95"/>
      <c r="BO70" s="95"/>
    </row>
    <row r="71" spans="2:67">
      <c r="B71" s="95"/>
      <c r="C71" s="95"/>
      <c r="D71" s="95"/>
      <c r="E71" s="177"/>
      <c r="F71" s="177"/>
      <c r="G71" s="95"/>
      <c r="H71" s="178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179"/>
      <c r="X71" s="95"/>
      <c r="Y71" s="95"/>
      <c r="Z71" s="95"/>
      <c r="AA71" s="95"/>
      <c r="AB71" s="95"/>
      <c r="AC71" s="95"/>
      <c r="AD71" s="95"/>
      <c r="AE71" s="95"/>
      <c r="AF71" s="95"/>
      <c r="AG71" s="95"/>
      <c r="AH71" s="95"/>
      <c r="AI71" s="95"/>
      <c r="AJ71" s="95"/>
      <c r="AK71" s="179"/>
      <c r="AL71" s="179"/>
      <c r="AM71" s="178"/>
      <c r="AN71" s="180"/>
      <c r="AO71" s="95"/>
      <c r="AP71" s="95"/>
      <c r="AQ71" s="95"/>
      <c r="AR71" s="95"/>
      <c r="AS71" s="95"/>
      <c r="AT71" s="95"/>
      <c r="AU71" s="95"/>
      <c r="AV71" s="95"/>
      <c r="AW71" s="95"/>
      <c r="AX71" s="95"/>
      <c r="AY71" s="95"/>
      <c r="AZ71" s="95"/>
      <c r="BA71" s="95"/>
      <c r="BB71" s="181"/>
      <c r="BC71" s="181"/>
      <c r="BD71" s="181"/>
      <c r="BE71" s="181"/>
      <c r="BF71" s="95"/>
      <c r="BG71" s="95"/>
      <c r="BH71" s="95"/>
      <c r="BI71" s="95"/>
      <c r="BJ71" s="95"/>
      <c r="BK71" s="95"/>
      <c r="BL71" s="95"/>
      <c r="BM71" s="95"/>
      <c r="BN71" s="95"/>
      <c r="BO71" s="95"/>
    </row>
    <row r="72" spans="2:67">
      <c r="B72" s="95"/>
      <c r="C72" s="95"/>
      <c r="D72" s="95"/>
      <c r="E72" s="177"/>
      <c r="F72" s="177"/>
      <c r="G72" s="95"/>
      <c r="H72" s="178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179"/>
      <c r="X72" s="95"/>
      <c r="Y72" s="95"/>
      <c r="Z72" s="95"/>
      <c r="AA72" s="95"/>
      <c r="AB72" s="95"/>
      <c r="AC72" s="95"/>
      <c r="AD72" s="95"/>
      <c r="AE72" s="95"/>
      <c r="AF72" s="95"/>
      <c r="AG72" s="95"/>
      <c r="AH72" s="95"/>
      <c r="AI72" s="95"/>
      <c r="AJ72" s="95"/>
      <c r="AK72" s="179"/>
      <c r="AL72" s="179"/>
      <c r="AM72" s="178"/>
      <c r="AN72" s="180"/>
      <c r="AO72" s="95"/>
      <c r="AP72" s="95"/>
      <c r="AQ72" s="95"/>
      <c r="AR72" s="95"/>
      <c r="AS72" s="95"/>
      <c r="AT72" s="95"/>
      <c r="AU72" s="95"/>
      <c r="AV72" s="95"/>
      <c r="AW72" s="95"/>
      <c r="AX72" s="95"/>
      <c r="AY72" s="95"/>
      <c r="AZ72" s="95"/>
      <c r="BA72" s="95"/>
      <c r="BB72" s="181"/>
      <c r="BC72" s="181"/>
      <c r="BD72" s="181"/>
      <c r="BE72" s="181"/>
      <c r="BF72" s="95"/>
      <c r="BG72" s="95"/>
      <c r="BH72" s="95"/>
      <c r="BI72" s="95"/>
      <c r="BJ72" s="95"/>
      <c r="BK72" s="95"/>
      <c r="BL72" s="95"/>
      <c r="BM72" s="95"/>
      <c r="BN72" s="95"/>
      <c r="BO72" s="95"/>
    </row>
    <row r="73" spans="2:67">
      <c r="B73" s="95"/>
      <c r="C73" s="95"/>
      <c r="D73" s="95"/>
      <c r="E73" s="177"/>
      <c r="F73" s="177"/>
      <c r="G73" s="95"/>
      <c r="H73" s="178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179"/>
      <c r="X73" s="95"/>
      <c r="Y73" s="95"/>
      <c r="Z73" s="95"/>
      <c r="AA73" s="95"/>
      <c r="AB73" s="95"/>
      <c r="AC73" s="95"/>
      <c r="AD73" s="95"/>
      <c r="AE73" s="95"/>
      <c r="AF73" s="95"/>
      <c r="AG73" s="95"/>
      <c r="AH73" s="95"/>
      <c r="AI73" s="95"/>
      <c r="AJ73" s="95"/>
      <c r="AK73" s="179"/>
      <c r="AL73" s="179"/>
      <c r="AM73" s="178"/>
      <c r="AN73" s="180"/>
      <c r="AO73" s="95"/>
      <c r="AP73" s="95"/>
      <c r="AQ73" s="95"/>
      <c r="AR73" s="95"/>
      <c r="AS73" s="95"/>
      <c r="AT73" s="95"/>
      <c r="AU73" s="95"/>
      <c r="AV73" s="95"/>
      <c r="AW73" s="95"/>
      <c r="AX73" s="95"/>
      <c r="AY73" s="95"/>
      <c r="AZ73" s="95"/>
      <c r="BA73" s="95"/>
      <c r="BB73" s="181"/>
      <c r="BC73" s="181"/>
      <c r="BD73" s="181"/>
      <c r="BE73" s="181"/>
      <c r="BF73" s="95"/>
      <c r="BG73" s="95"/>
      <c r="BH73" s="95"/>
      <c r="BI73" s="95"/>
      <c r="BJ73" s="95"/>
      <c r="BK73" s="95"/>
      <c r="BL73" s="95"/>
      <c r="BM73" s="95"/>
      <c r="BN73" s="95"/>
      <c r="BO73" s="95"/>
    </row>
    <row r="74" spans="2:67">
      <c r="B74" s="95"/>
      <c r="C74" s="95"/>
      <c r="D74" s="95"/>
      <c r="E74" s="177"/>
      <c r="F74" s="177"/>
      <c r="G74" s="95"/>
      <c r="H74" s="178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179"/>
      <c r="X74" s="95"/>
      <c r="Y74" s="95"/>
      <c r="Z74" s="95"/>
      <c r="AA74" s="95"/>
      <c r="AB74" s="95"/>
      <c r="AC74" s="95"/>
      <c r="AD74" s="95"/>
      <c r="AE74" s="95"/>
      <c r="AF74" s="95"/>
      <c r="AG74" s="95"/>
      <c r="AH74" s="95"/>
      <c r="AI74" s="95"/>
      <c r="AJ74" s="95"/>
      <c r="AK74" s="179"/>
      <c r="AL74" s="179"/>
      <c r="AM74" s="178"/>
      <c r="AN74" s="180"/>
      <c r="AO74" s="95"/>
      <c r="AP74" s="95"/>
      <c r="AQ74" s="95"/>
      <c r="AR74" s="95"/>
      <c r="AS74" s="95"/>
      <c r="AT74" s="95"/>
      <c r="AU74" s="95"/>
      <c r="AV74" s="95"/>
      <c r="AW74" s="95"/>
      <c r="AX74" s="95"/>
      <c r="AY74" s="95"/>
      <c r="AZ74" s="95"/>
      <c r="BA74" s="95"/>
      <c r="BB74" s="181"/>
      <c r="BC74" s="181"/>
      <c r="BD74" s="181"/>
      <c r="BE74" s="181"/>
      <c r="BF74" s="95"/>
      <c r="BG74" s="95"/>
      <c r="BH74" s="95"/>
      <c r="BI74" s="95"/>
      <c r="BJ74" s="95"/>
      <c r="BK74" s="95"/>
      <c r="BL74" s="95"/>
      <c r="BM74" s="95"/>
      <c r="BN74" s="95"/>
      <c r="BO74" s="95"/>
    </row>
    <row r="75" spans="2:67">
      <c r="B75" s="95"/>
      <c r="C75" s="95"/>
      <c r="D75" s="95"/>
      <c r="E75" s="177"/>
      <c r="F75" s="177"/>
      <c r="G75" s="95"/>
      <c r="H75" s="178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179"/>
      <c r="X75" s="95"/>
      <c r="Y75" s="95"/>
      <c r="Z75" s="95"/>
      <c r="AA75" s="95"/>
      <c r="AB75" s="95"/>
      <c r="AC75" s="95"/>
      <c r="AD75" s="95"/>
      <c r="AE75" s="95"/>
      <c r="AF75" s="95"/>
      <c r="AG75" s="95"/>
      <c r="AH75" s="95"/>
      <c r="AI75" s="95"/>
      <c r="AJ75" s="95"/>
      <c r="AK75" s="179"/>
      <c r="AL75" s="179"/>
      <c r="AM75" s="178"/>
      <c r="AN75" s="180"/>
      <c r="AO75" s="95"/>
      <c r="AP75" s="95"/>
      <c r="AQ75" s="95"/>
      <c r="AR75" s="95"/>
      <c r="AS75" s="95"/>
      <c r="AT75" s="95"/>
      <c r="AU75" s="95"/>
      <c r="AV75" s="95"/>
      <c r="AW75" s="95"/>
      <c r="AX75" s="95"/>
      <c r="AY75" s="95"/>
      <c r="AZ75" s="95"/>
      <c r="BA75" s="95"/>
      <c r="BB75" s="181"/>
      <c r="BC75" s="181"/>
      <c r="BD75" s="181"/>
      <c r="BE75" s="181"/>
      <c r="BF75" s="95"/>
      <c r="BG75" s="95"/>
      <c r="BH75" s="95"/>
      <c r="BI75" s="95"/>
      <c r="BJ75" s="95"/>
      <c r="BK75" s="95"/>
      <c r="BL75" s="95"/>
      <c r="BM75" s="95"/>
      <c r="BN75" s="95"/>
      <c r="BO75" s="95"/>
    </row>
    <row r="76" spans="2:67">
      <c r="B76" s="95"/>
      <c r="C76" s="95"/>
      <c r="D76" s="95"/>
      <c r="E76" s="177"/>
      <c r="F76" s="177"/>
      <c r="G76" s="95"/>
      <c r="H76" s="178"/>
      <c r="I76" s="95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179"/>
      <c r="X76" s="95"/>
      <c r="Y76" s="95"/>
      <c r="Z76" s="95"/>
      <c r="AA76" s="95"/>
      <c r="AB76" s="95"/>
      <c r="AC76" s="95"/>
      <c r="AD76" s="95"/>
      <c r="AE76" s="95"/>
      <c r="AF76" s="95"/>
      <c r="AG76" s="95"/>
      <c r="AH76" s="95"/>
      <c r="AI76" s="95"/>
      <c r="AJ76" s="95"/>
      <c r="AK76" s="179"/>
      <c r="AL76" s="179"/>
      <c r="AM76" s="178"/>
      <c r="AN76" s="180"/>
      <c r="AO76" s="95"/>
      <c r="AP76" s="95"/>
      <c r="AQ76" s="95"/>
      <c r="AR76" s="95"/>
      <c r="AS76" s="95"/>
      <c r="AT76" s="95"/>
      <c r="AU76" s="95"/>
      <c r="AV76" s="95"/>
      <c r="AW76" s="95"/>
      <c r="AX76" s="95"/>
      <c r="AY76" s="95"/>
      <c r="AZ76" s="95"/>
      <c r="BA76" s="95"/>
      <c r="BB76" s="181"/>
      <c r="BC76" s="181"/>
      <c r="BD76" s="181"/>
      <c r="BE76" s="181"/>
      <c r="BF76" s="95"/>
      <c r="BG76" s="95"/>
      <c r="BH76" s="95"/>
      <c r="BI76" s="95"/>
      <c r="BJ76" s="95"/>
      <c r="BK76" s="95"/>
      <c r="BL76" s="95"/>
      <c r="BM76" s="95"/>
      <c r="BN76" s="95"/>
      <c r="BO76" s="95"/>
    </row>
    <row r="77" spans="2:67">
      <c r="B77" s="95"/>
      <c r="C77" s="95"/>
      <c r="D77" s="95"/>
      <c r="E77" s="177"/>
      <c r="F77" s="177"/>
      <c r="G77" s="95"/>
      <c r="H77" s="178"/>
      <c r="I77" s="95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179"/>
      <c r="X77" s="95"/>
      <c r="Y77" s="95"/>
      <c r="Z77" s="95"/>
      <c r="AA77" s="95"/>
      <c r="AB77" s="95"/>
      <c r="AC77" s="95"/>
      <c r="AD77" s="95"/>
      <c r="AE77" s="95"/>
      <c r="AF77" s="95"/>
      <c r="AG77" s="95"/>
      <c r="AH77" s="95"/>
      <c r="AI77" s="95"/>
      <c r="AJ77" s="95"/>
      <c r="AK77" s="179"/>
      <c r="AL77" s="179"/>
      <c r="AM77" s="178"/>
      <c r="AN77" s="180"/>
      <c r="AO77" s="95"/>
      <c r="AP77" s="95"/>
      <c r="AQ77" s="95"/>
      <c r="AR77" s="95"/>
      <c r="AS77" s="95"/>
      <c r="AT77" s="95"/>
      <c r="AU77" s="95"/>
      <c r="AV77" s="95"/>
      <c r="AW77" s="95"/>
      <c r="AX77" s="95"/>
      <c r="AY77" s="95"/>
      <c r="AZ77" s="95"/>
      <c r="BA77" s="95"/>
      <c r="BB77" s="181"/>
      <c r="BC77" s="181"/>
      <c r="BD77" s="181"/>
      <c r="BE77" s="181"/>
      <c r="BF77" s="95"/>
      <c r="BG77" s="95"/>
      <c r="BH77" s="95"/>
      <c r="BI77" s="95"/>
      <c r="BJ77" s="95"/>
      <c r="BK77" s="95"/>
      <c r="BL77" s="95"/>
      <c r="BM77" s="95"/>
      <c r="BN77" s="95"/>
      <c r="BO77" s="95"/>
    </row>
    <row r="78" spans="2:67">
      <c r="B78" s="95"/>
      <c r="C78" s="95"/>
      <c r="D78" s="95"/>
      <c r="E78" s="177"/>
      <c r="F78" s="177"/>
      <c r="G78" s="95"/>
      <c r="H78" s="178"/>
      <c r="I78" s="95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179"/>
      <c r="X78" s="95"/>
      <c r="Y78" s="95"/>
      <c r="Z78" s="95"/>
      <c r="AA78" s="95"/>
      <c r="AB78" s="95"/>
      <c r="AC78" s="95"/>
      <c r="AD78" s="95"/>
      <c r="AE78" s="95"/>
      <c r="AF78" s="95"/>
      <c r="AG78" s="95"/>
      <c r="AH78" s="95"/>
      <c r="AI78" s="95"/>
      <c r="AJ78" s="95"/>
      <c r="AK78" s="179"/>
      <c r="AL78" s="179"/>
      <c r="AM78" s="178"/>
      <c r="AN78" s="180"/>
      <c r="AO78" s="95"/>
      <c r="AP78" s="95"/>
      <c r="AQ78" s="95"/>
      <c r="AR78" s="95"/>
      <c r="AS78" s="95"/>
      <c r="AT78" s="95"/>
      <c r="AU78" s="95"/>
      <c r="AV78" s="95"/>
      <c r="AW78" s="95"/>
      <c r="AX78" s="95"/>
      <c r="AY78" s="95"/>
      <c r="AZ78" s="95"/>
      <c r="BA78" s="95"/>
      <c r="BB78" s="181"/>
      <c r="BC78" s="181"/>
      <c r="BD78" s="181"/>
      <c r="BE78" s="181"/>
      <c r="BF78" s="95"/>
      <c r="BG78" s="95"/>
      <c r="BH78" s="95"/>
      <c r="BI78" s="95"/>
      <c r="BJ78" s="95"/>
      <c r="BK78" s="95"/>
      <c r="BL78" s="95"/>
      <c r="BM78" s="95"/>
      <c r="BN78" s="95"/>
      <c r="BO78" s="95"/>
    </row>
    <row r="79" spans="2:67">
      <c r="B79" s="95"/>
      <c r="C79" s="95"/>
      <c r="D79" s="95"/>
      <c r="E79" s="177"/>
      <c r="F79" s="177"/>
      <c r="G79" s="95"/>
      <c r="H79" s="178"/>
      <c r="I79" s="95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179"/>
      <c r="X79" s="95"/>
      <c r="Y79" s="95"/>
      <c r="Z79" s="95"/>
      <c r="AA79" s="95"/>
      <c r="AB79" s="95"/>
      <c r="AC79" s="95"/>
      <c r="AD79" s="95"/>
      <c r="AE79" s="95"/>
      <c r="AF79" s="95"/>
      <c r="AG79" s="95"/>
      <c r="AH79" s="95"/>
      <c r="AI79" s="95"/>
      <c r="AJ79" s="95"/>
      <c r="AK79" s="179"/>
      <c r="AL79" s="179"/>
      <c r="AM79" s="178"/>
      <c r="AN79" s="180"/>
      <c r="AO79" s="95"/>
      <c r="AP79" s="95"/>
      <c r="AQ79" s="95"/>
      <c r="AR79" s="95"/>
      <c r="AS79" s="95"/>
      <c r="AT79" s="95"/>
      <c r="AU79" s="95"/>
      <c r="AV79" s="95"/>
      <c r="AW79" s="95"/>
      <c r="AX79" s="95"/>
      <c r="AY79" s="95"/>
      <c r="AZ79" s="95"/>
      <c r="BA79" s="95"/>
      <c r="BB79" s="181"/>
      <c r="BC79" s="181"/>
      <c r="BD79" s="181"/>
      <c r="BE79" s="181"/>
      <c r="BF79" s="95"/>
      <c r="BG79" s="95"/>
      <c r="BH79" s="95"/>
      <c r="BI79" s="95"/>
      <c r="BJ79" s="95"/>
      <c r="BK79" s="95"/>
      <c r="BL79" s="95"/>
      <c r="BM79" s="95"/>
      <c r="BN79" s="95"/>
      <c r="BO79" s="95"/>
    </row>
    <row r="80" spans="2:67">
      <c r="B80" s="95"/>
      <c r="C80" s="95"/>
      <c r="D80" s="95"/>
      <c r="E80" s="177"/>
      <c r="F80" s="177"/>
      <c r="G80" s="95"/>
      <c r="H80" s="178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179"/>
      <c r="X80" s="95"/>
      <c r="Y80" s="95"/>
      <c r="Z80" s="95"/>
      <c r="AA80" s="95"/>
      <c r="AB80" s="95"/>
      <c r="AC80" s="95"/>
      <c r="AD80" s="95"/>
      <c r="AE80" s="95"/>
      <c r="AF80" s="95"/>
      <c r="AG80" s="95"/>
      <c r="AH80" s="95"/>
      <c r="AI80" s="95"/>
      <c r="AJ80" s="95"/>
      <c r="AK80" s="179"/>
      <c r="AL80" s="179"/>
      <c r="AM80" s="178"/>
      <c r="AN80" s="180"/>
      <c r="AO80" s="95"/>
      <c r="AP80" s="95"/>
      <c r="AQ80" s="95"/>
      <c r="AR80" s="95"/>
      <c r="AS80" s="95"/>
      <c r="AT80" s="95"/>
      <c r="AU80" s="95"/>
      <c r="AV80" s="95"/>
      <c r="AW80" s="95"/>
      <c r="AX80" s="95"/>
      <c r="AY80" s="95"/>
      <c r="AZ80" s="95"/>
      <c r="BA80" s="95"/>
      <c r="BB80" s="181"/>
      <c r="BC80" s="181"/>
      <c r="BD80" s="181"/>
      <c r="BE80" s="181"/>
      <c r="BF80" s="95"/>
      <c r="BG80" s="95"/>
      <c r="BH80" s="95"/>
      <c r="BI80" s="95"/>
      <c r="BJ80" s="95"/>
      <c r="BK80" s="95"/>
      <c r="BL80" s="95"/>
      <c r="BM80" s="95"/>
      <c r="BN80" s="95"/>
      <c r="BO80" s="95"/>
    </row>
    <row r="81" spans="2:67">
      <c r="B81" s="95"/>
      <c r="C81" s="95"/>
      <c r="D81" s="95"/>
      <c r="E81" s="177"/>
      <c r="F81" s="177"/>
      <c r="G81" s="95"/>
      <c r="H81" s="178"/>
      <c r="I81" s="95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179"/>
      <c r="X81" s="95"/>
      <c r="Y81" s="95"/>
      <c r="Z81" s="95"/>
      <c r="AA81" s="95"/>
      <c r="AB81" s="95"/>
      <c r="AC81" s="95"/>
      <c r="AD81" s="95"/>
      <c r="AE81" s="95"/>
      <c r="AF81" s="95"/>
      <c r="AG81" s="95"/>
      <c r="AH81" s="95"/>
      <c r="AI81" s="95"/>
      <c r="AJ81" s="95"/>
      <c r="AK81" s="179"/>
      <c r="AL81" s="179"/>
      <c r="AM81" s="178"/>
      <c r="AN81" s="180"/>
      <c r="AO81" s="95"/>
      <c r="AP81" s="95"/>
      <c r="AQ81" s="95"/>
      <c r="AR81" s="95"/>
      <c r="AS81" s="95"/>
      <c r="AT81" s="95"/>
      <c r="AU81" s="95"/>
      <c r="AV81" s="95"/>
      <c r="AW81" s="95"/>
      <c r="AX81" s="95"/>
      <c r="AY81" s="95"/>
      <c r="AZ81" s="95"/>
      <c r="BA81" s="95"/>
      <c r="BB81" s="181"/>
      <c r="BC81" s="181"/>
      <c r="BD81" s="181"/>
      <c r="BE81" s="181"/>
      <c r="BF81" s="95"/>
      <c r="BG81" s="95"/>
      <c r="BH81" s="95"/>
      <c r="BI81" s="95"/>
      <c r="BJ81" s="95"/>
      <c r="BK81" s="95"/>
      <c r="BL81" s="95"/>
      <c r="BM81" s="95"/>
      <c r="BN81" s="95"/>
      <c r="BO81" s="95"/>
    </row>
    <row r="82" spans="2:67">
      <c r="B82" s="95"/>
      <c r="C82" s="95"/>
      <c r="D82" s="95"/>
      <c r="E82" s="177"/>
      <c r="F82" s="177"/>
      <c r="G82" s="95"/>
      <c r="H82" s="178"/>
      <c r="I82" s="95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179"/>
      <c r="X82" s="95"/>
      <c r="Y82" s="95"/>
      <c r="Z82" s="95"/>
      <c r="AA82" s="95"/>
      <c r="AB82" s="95"/>
      <c r="AC82" s="95"/>
      <c r="AD82" s="95"/>
      <c r="AE82" s="95"/>
      <c r="AF82" s="95"/>
      <c r="AG82" s="95"/>
      <c r="AH82" s="95"/>
      <c r="AI82" s="95"/>
      <c r="AJ82" s="95"/>
      <c r="AK82" s="179"/>
      <c r="AL82" s="179"/>
      <c r="AM82" s="178"/>
      <c r="AN82" s="180"/>
      <c r="AO82" s="95"/>
      <c r="AP82" s="95"/>
      <c r="AQ82" s="95"/>
      <c r="AR82" s="95"/>
      <c r="AS82" s="95"/>
      <c r="AT82" s="95"/>
      <c r="AU82" s="95"/>
      <c r="AV82" s="95"/>
      <c r="AW82" s="95"/>
      <c r="AX82" s="95"/>
      <c r="AY82" s="95"/>
      <c r="AZ82" s="95"/>
      <c r="BA82" s="95"/>
      <c r="BB82" s="181"/>
      <c r="BC82" s="181"/>
      <c r="BD82" s="181"/>
      <c r="BE82" s="181"/>
      <c r="BF82" s="95"/>
      <c r="BG82" s="95"/>
      <c r="BH82" s="95"/>
      <c r="BI82" s="95"/>
      <c r="BJ82" s="95"/>
      <c r="BK82" s="95"/>
      <c r="BL82" s="95"/>
      <c r="BM82" s="95"/>
      <c r="BN82" s="95"/>
      <c r="BO82" s="95"/>
    </row>
    <row r="83" spans="2:67">
      <c r="B83" s="95"/>
      <c r="C83" s="95"/>
      <c r="D83" s="95"/>
      <c r="E83" s="177"/>
      <c r="F83" s="177"/>
      <c r="G83" s="95"/>
      <c r="H83" s="178"/>
      <c r="I83" s="95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179"/>
      <c r="X83" s="95"/>
      <c r="Y83" s="95"/>
      <c r="Z83" s="95"/>
      <c r="AA83" s="95"/>
      <c r="AB83" s="95"/>
      <c r="AC83" s="95"/>
      <c r="AD83" s="95"/>
      <c r="AE83" s="95"/>
      <c r="AF83" s="95"/>
      <c r="AG83" s="95"/>
      <c r="AH83" s="95"/>
      <c r="AI83" s="95"/>
      <c r="AJ83" s="95"/>
      <c r="AK83" s="179"/>
      <c r="AL83" s="179"/>
      <c r="AM83" s="178"/>
      <c r="AN83" s="180"/>
      <c r="AO83" s="95"/>
      <c r="AP83" s="95"/>
      <c r="AQ83" s="95"/>
      <c r="AR83" s="95"/>
      <c r="AS83" s="95"/>
      <c r="AT83" s="95"/>
      <c r="AU83" s="95"/>
      <c r="AV83" s="95"/>
      <c r="AW83" s="95"/>
      <c r="AX83" s="95"/>
      <c r="AY83" s="95"/>
      <c r="AZ83" s="95"/>
      <c r="BA83" s="95"/>
      <c r="BB83" s="181"/>
      <c r="BC83" s="181"/>
      <c r="BD83" s="181"/>
      <c r="BE83" s="181"/>
      <c r="BF83" s="95"/>
      <c r="BG83" s="95"/>
      <c r="BH83" s="95"/>
      <c r="BI83" s="95"/>
      <c r="BJ83" s="95"/>
      <c r="BK83" s="95"/>
      <c r="BL83" s="95"/>
      <c r="BM83" s="95"/>
      <c r="BN83" s="95"/>
      <c r="BO83" s="95"/>
    </row>
    <row r="84" spans="2:67">
      <c r="B84" s="95"/>
      <c r="C84" s="95"/>
      <c r="D84" s="95"/>
      <c r="E84" s="177"/>
      <c r="F84" s="177"/>
      <c r="G84" s="95"/>
      <c r="H84" s="178"/>
      <c r="I84" s="95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179"/>
      <c r="X84" s="95"/>
      <c r="Y84" s="95"/>
      <c r="Z84" s="95"/>
      <c r="AA84" s="95"/>
      <c r="AB84" s="95"/>
      <c r="AC84" s="95"/>
      <c r="AD84" s="95"/>
      <c r="AE84" s="95"/>
      <c r="AF84" s="95"/>
      <c r="AG84" s="95"/>
      <c r="AH84" s="95"/>
      <c r="AI84" s="95"/>
      <c r="AJ84" s="95"/>
      <c r="AK84" s="179"/>
      <c r="AL84" s="179"/>
      <c r="AM84" s="178"/>
      <c r="AN84" s="180"/>
      <c r="AO84" s="95"/>
      <c r="AP84" s="95"/>
      <c r="AQ84" s="95"/>
      <c r="AR84" s="95"/>
      <c r="AS84" s="95"/>
      <c r="AT84" s="95"/>
      <c r="AU84" s="95"/>
      <c r="AV84" s="95"/>
      <c r="AW84" s="95"/>
      <c r="AX84" s="95"/>
      <c r="AY84" s="95"/>
      <c r="AZ84" s="95"/>
      <c r="BA84" s="95"/>
      <c r="BB84" s="181"/>
      <c r="BC84" s="181"/>
      <c r="BD84" s="181"/>
      <c r="BE84" s="181"/>
      <c r="BF84" s="95"/>
      <c r="BG84" s="95"/>
      <c r="BH84" s="95"/>
      <c r="BI84" s="95"/>
      <c r="BJ84" s="95"/>
      <c r="BK84" s="95"/>
      <c r="BL84" s="95"/>
      <c r="BM84" s="95"/>
      <c r="BN84" s="95"/>
      <c r="BO84" s="95"/>
    </row>
    <row r="85" spans="2:67">
      <c r="B85" s="95"/>
      <c r="C85" s="95"/>
      <c r="D85" s="95"/>
      <c r="E85" s="177"/>
      <c r="F85" s="177"/>
      <c r="G85" s="95"/>
      <c r="H85" s="178"/>
      <c r="I85" s="95"/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179"/>
      <c r="X85" s="95"/>
      <c r="Y85" s="95"/>
      <c r="Z85" s="95"/>
      <c r="AA85" s="95"/>
      <c r="AB85" s="95"/>
      <c r="AC85" s="95"/>
      <c r="AD85" s="95"/>
      <c r="AE85" s="95"/>
      <c r="AF85" s="95"/>
      <c r="AG85" s="95"/>
      <c r="AH85" s="95"/>
      <c r="AI85" s="95"/>
      <c r="AJ85" s="95"/>
      <c r="AK85" s="179"/>
      <c r="AL85" s="179"/>
      <c r="AM85" s="178"/>
      <c r="AN85" s="180"/>
      <c r="AO85" s="95"/>
      <c r="AP85" s="95"/>
      <c r="AQ85" s="95"/>
      <c r="AR85" s="95"/>
      <c r="AS85" s="95"/>
      <c r="AT85" s="95"/>
      <c r="AU85" s="95"/>
      <c r="AV85" s="95"/>
      <c r="AW85" s="95"/>
      <c r="AX85" s="95"/>
      <c r="AY85" s="95"/>
      <c r="AZ85" s="95"/>
      <c r="BA85" s="95"/>
      <c r="BB85" s="181"/>
      <c r="BC85" s="181"/>
      <c r="BD85" s="181"/>
      <c r="BE85" s="181"/>
      <c r="BF85" s="95"/>
      <c r="BG85" s="95"/>
      <c r="BH85" s="95"/>
      <c r="BI85" s="95"/>
      <c r="BJ85" s="95"/>
      <c r="BK85" s="95"/>
      <c r="BL85" s="95"/>
      <c r="BM85" s="95"/>
      <c r="BN85" s="95"/>
      <c r="BO85" s="95"/>
    </row>
    <row r="86" spans="2:67">
      <c r="B86" s="95"/>
      <c r="C86" s="95"/>
      <c r="D86" s="95"/>
      <c r="E86" s="177"/>
      <c r="F86" s="177"/>
      <c r="G86" s="95"/>
      <c r="H86" s="178"/>
      <c r="I86" s="95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179"/>
      <c r="X86" s="95"/>
      <c r="Y86" s="95"/>
      <c r="Z86" s="95"/>
      <c r="AA86" s="95"/>
      <c r="AB86" s="95"/>
      <c r="AC86" s="95"/>
      <c r="AD86" s="95"/>
      <c r="AE86" s="95"/>
      <c r="AF86" s="95"/>
      <c r="AG86" s="95"/>
      <c r="AH86" s="95"/>
      <c r="AI86" s="95"/>
      <c r="AJ86" s="95"/>
      <c r="AK86" s="179"/>
      <c r="AL86" s="179"/>
      <c r="AM86" s="178"/>
      <c r="AN86" s="180"/>
      <c r="AO86" s="95"/>
      <c r="AP86" s="95"/>
      <c r="AQ86" s="95"/>
      <c r="AR86" s="95"/>
      <c r="AS86" s="95"/>
      <c r="AT86" s="95"/>
      <c r="AU86" s="95"/>
      <c r="AV86" s="95"/>
      <c r="AW86" s="95"/>
      <c r="AX86" s="95"/>
      <c r="AY86" s="95"/>
      <c r="AZ86" s="95"/>
      <c r="BA86" s="95"/>
      <c r="BB86" s="181"/>
      <c r="BC86" s="181"/>
      <c r="BD86" s="181"/>
      <c r="BE86" s="181"/>
      <c r="BF86" s="95"/>
      <c r="BG86" s="95"/>
      <c r="BH86" s="95"/>
      <c r="BI86" s="95"/>
      <c r="BJ86" s="95"/>
      <c r="BK86" s="95"/>
      <c r="BL86" s="95"/>
      <c r="BM86" s="95"/>
      <c r="BN86" s="95"/>
      <c r="BO86" s="95"/>
    </row>
    <row r="87" spans="2:67">
      <c r="B87" s="95"/>
      <c r="C87" s="95"/>
      <c r="D87" s="95"/>
      <c r="E87" s="177"/>
      <c r="F87" s="177"/>
      <c r="G87" s="95"/>
      <c r="H87" s="178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179"/>
      <c r="X87" s="95"/>
      <c r="Y87" s="95"/>
      <c r="Z87" s="95"/>
      <c r="AA87" s="95"/>
      <c r="AB87" s="95"/>
      <c r="AC87" s="95"/>
      <c r="AD87" s="95"/>
      <c r="AE87" s="95"/>
      <c r="AF87" s="95"/>
      <c r="AG87" s="95"/>
      <c r="AH87" s="95"/>
      <c r="AI87" s="95"/>
      <c r="AJ87" s="95"/>
      <c r="AK87" s="179"/>
      <c r="AL87" s="179"/>
      <c r="AM87" s="178"/>
      <c r="AN87" s="180"/>
      <c r="AO87" s="95"/>
      <c r="AP87" s="95"/>
      <c r="AQ87" s="95"/>
      <c r="AR87" s="95"/>
      <c r="AS87" s="95"/>
      <c r="AT87" s="95"/>
      <c r="AU87" s="95"/>
      <c r="AV87" s="95"/>
      <c r="AW87" s="95"/>
      <c r="AX87" s="95"/>
      <c r="AY87" s="95"/>
      <c r="AZ87" s="95"/>
      <c r="BA87" s="95"/>
      <c r="BB87" s="181"/>
      <c r="BC87" s="181"/>
      <c r="BD87" s="181"/>
      <c r="BE87" s="181"/>
      <c r="BF87" s="95"/>
      <c r="BG87" s="95"/>
      <c r="BH87" s="95"/>
      <c r="BI87" s="95"/>
      <c r="BJ87" s="95"/>
      <c r="BK87" s="95"/>
      <c r="BL87" s="95"/>
      <c r="BM87" s="95"/>
      <c r="BN87" s="95"/>
      <c r="BO87" s="95"/>
    </row>
    <row r="88" spans="2:67">
      <c r="B88" s="95"/>
      <c r="C88" s="95"/>
      <c r="D88" s="95"/>
      <c r="E88" s="177"/>
      <c r="F88" s="177"/>
      <c r="G88" s="95"/>
      <c r="H88" s="178"/>
      <c r="I88" s="95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179"/>
      <c r="X88" s="95"/>
      <c r="Y88" s="95"/>
      <c r="Z88" s="95"/>
      <c r="AA88" s="95"/>
      <c r="AB88" s="95"/>
      <c r="AC88" s="95"/>
      <c r="AD88" s="95"/>
      <c r="AE88" s="95"/>
      <c r="AF88" s="95"/>
      <c r="AG88" s="95"/>
      <c r="AH88" s="95"/>
      <c r="AI88" s="95"/>
      <c r="AJ88" s="95"/>
      <c r="AK88" s="179"/>
      <c r="AL88" s="179"/>
      <c r="AM88" s="178"/>
      <c r="AN88" s="180"/>
      <c r="AO88" s="95"/>
      <c r="AP88" s="95"/>
      <c r="AQ88" s="95"/>
      <c r="AR88" s="95"/>
      <c r="AS88" s="95"/>
      <c r="AT88" s="95"/>
      <c r="AU88" s="95"/>
      <c r="AV88" s="95"/>
      <c r="AW88" s="95"/>
      <c r="AX88" s="95"/>
      <c r="AY88" s="95"/>
      <c r="AZ88" s="95"/>
      <c r="BA88" s="95"/>
      <c r="BB88" s="181"/>
      <c r="BC88" s="181"/>
      <c r="BD88" s="181"/>
      <c r="BE88" s="181"/>
      <c r="BF88" s="95"/>
      <c r="BG88" s="95"/>
      <c r="BH88" s="95"/>
      <c r="BI88" s="95"/>
      <c r="BJ88" s="95"/>
      <c r="BK88" s="95"/>
      <c r="BL88" s="95"/>
      <c r="BM88" s="95"/>
      <c r="BN88" s="95"/>
      <c r="BO88" s="95"/>
    </row>
    <row r="89" spans="2:67">
      <c r="B89" s="95"/>
      <c r="C89" s="95"/>
      <c r="D89" s="95"/>
      <c r="E89" s="177"/>
      <c r="F89" s="177"/>
      <c r="G89" s="95"/>
      <c r="H89" s="178"/>
      <c r="I89" s="95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179"/>
      <c r="X89" s="95"/>
      <c r="Y89" s="95"/>
      <c r="Z89" s="95"/>
      <c r="AA89" s="95"/>
      <c r="AB89" s="95"/>
      <c r="AC89" s="95"/>
      <c r="AD89" s="95"/>
      <c r="AE89" s="95"/>
      <c r="AF89" s="95"/>
      <c r="AG89" s="95"/>
      <c r="AH89" s="95"/>
      <c r="AI89" s="95"/>
      <c r="AJ89" s="95"/>
      <c r="AK89" s="179"/>
      <c r="AL89" s="179"/>
      <c r="AM89" s="178"/>
      <c r="AN89" s="180"/>
      <c r="AO89" s="95"/>
      <c r="AP89" s="95"/>
      <c r="AQ89" s="95"/>
      <c r="AR89" s="95"/>
      <c r="AS89" s="95"/>
      <c r="AT89" s="95"/>
      <c r="AU89" s="95"/>
      <c r="AV89" s="95"/>
      <c r="AW89" s="95"/>
      <c r="AX89" s="95"/>
      <c r="AY89" s="95"/>
      <c r="AZ89" s="95"/>
      <c r="BA89" s="95"/>
      <c r="BB89" s="181"/>
      <c r="BC89" s="181"/>
      <c r="BD89" s="181"/>
      <c r="BE89" s="181"/>
      <c r="BF89" s="95"/>
      <c r="BG89" s="95"/>
      <c r="BH89" s="95"/>
      <c r="BI89" s="95"/>
      <c r="BJ89" s="95"/>
      <c r="BK89" s="95"/>
      <c r="BL89" s="95"/>
      <c r="BM89" s="95"/>
      <c r="BN89" s="95"/>
      <c r="BO89" s="95"/>
    </row>
    <row r="90" spans="2:67">
      <c r="B90" s="95"/>
      <c r="C90" s="95"/>
      <c r="D90" s="95"/>
      <c r="E90" s="177"/>
      <c r="F90" s="177"/>
      <c r="G90" s="95"/>
      <c r="H90" s="178"/>
      <c r="I90" s="95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179"/>
      <c r="X90" s="95"/>
      <c r="Y90" s="95"/>
      <c r="Z90" s="95"/>
      <c r="AA90" s="95"/>
      <c r="AB90" s="95"/>
      <c r="AC90" s="95"/>
      <c r="AD90" s="95"/>
      <c r="AE90" s="95"/>
      <c r="AF90" s="95"/>
      <c r="AG90" s="95"/>
      <c r="AH90" s="95"/>
      <c r="AI90" s="95"/>
      <c r="AJ90" s="95"/>
      <c r="AK90" s="179"/>
      <c r="AL90" s="179"/>
      <c r="AM90" s="178"/>
      <c r="AN90" s="180"/>
      <c r="AO90" s="95"/>
      <c r="AP90" s="95"/>
      <c r="AQ90" s="95"/>
      <c r="AR90" s="95"/>
      <c r="AS90" s="95"/>
      <c r="AT90" s="95"/>
      <c r="AU90" s="95"/>
      <c r="AV90" s="95"/>
      <c r="AW90" s="95"/>
      <c r="AX90" s="95"/>
      <c r="AY90" s="95"/>
      <c r="AZ90" s="95"/>
      <c r="BA90" s="95"/>
      <c r="BB90" s="181"/>
      <c r="BC90" s="181"/>
      <c r="BD90" s="181"/>
      <c r="BE90" s="181"/>
      <c r="BF90" s="95"/>
      <c r="BG90" s="95"/>
      <c r="BH90" s="95"/>
      <c r="BI90" s="95"/>
      <c r="BJ90" s="95"/>
      <c r="BK90" s="95"/>
      <c r="BL90" s="95"/>
      <c r="BM90" s="95"/>
      <c r="BN90" s="95"/>
      <c r="BO90" s="95"/>
    </row>
    <row r="91" spans="2:67">
      <c r="B91" s="95"/>
      <c r="C91" s="95"/>
      <c r="D91" s="95"/>
      <c r="E91" s="177"/>
      <c r="F91" s="177"/>
      <c r="G91" s="95"/>
      <c r="H91" s="178"/>
      <c r="I91" s="95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179"/>
      <c r="X91" s="95"/>
      <c r="Y91" s="95"/>
      <c r="Z91" s="95"/>
      <c r="AA91" s="95"/>
      <c r="AB91" s="95"/>
      <c r="AC91" s="95"/>
      <c r="AD91" s="95"/>
      <c r="AE91" s="95"/>
      <c r="AF91" s="95"/>
      <c r="AG91" s="95"/>
      <c r="AH91" s="95"/>
      <c r="AI91" s="95"/>
      <c r="AJ91" s="95"/>
      <c r="AK91" s="179"/>
      <c r="AL91" s="179"/>
      <c r="AM91" s="178"/>
      <c r="AN91" s="180"/>
      <c r="AO91" s="95"/>
      <c r="AP91" s="95"/>
      <c r="AQ91" s="95"/>
      <c r="AR91" s="95"/>
      <c r="AS91" s="95"/>
      <c r="AT91" s="95"/>
      <c r="AU91" s="95"/>
      <c r="AV91" s="95"/>
      <c r="AW91" s="95"/>
      <c r="AX91" s="95"/>
      <c r="AY91" s="95"/>
      <c r="AZ91" s="95"/>
      <c r="BA91" s="95"/>
      <c r="BB91" s="181"/>
      <c r="BC91" s="181"/>
      <c r="BD91" s="181"/>
      <c r="BE91" s="181"/>
      <c r="BF91" s="95"/>
      <c r="BG91" s="95"/>
      <c r="BH91" s="95"/>
      <c r="BI91" s="95"/>
      <c r="BJ91" s="95"/>
      <c r="BK91" s="95"/>
      <c r="BL91" s="95"/>
      <c r="BM91" s="95"/>
      <c r="BN91" s="95"/>
      <c r="BO91" s="95"/>
    </row>
    <row r="92" spans="2:67">
      <c r="B92" s="95"/>
      <c r="C92" s="95"/>
      <c r="D92" s="95"/>
      <c r="E92" s="177"/>
      <c r="F92" s="177"/>
      <c r="G92" s="95"/>
      <c r="H92" s="178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179"/>
      <c r="X92" s="95"/>
      <c r="Y92" s="95"/>
      <c r="Z92" s="95"/>
      <c r="AA92" s="95"/>
      <c r="AB92" s="95"/>
      <c r="AC92" s="95"/>
      <c r="AD92" s="95"/>
      <c r="AE92" s="95"/>
      <c r="AF92" s="95"/>
      <c r="AG92" s="95"/>
      <c r="AH92" s="95"/>
      <c r="AI92" s="95"/>
      <c r="AJ92" s="95"/>
      <c r="AK92" s="179"/>
      <c r="AL92" s="179"/>
      <c r="AM92" s="178"/>
      <c r="AN92" s="180"/>
      <c r="AO92" s="95"/>
      <c r="AP92" s="95"/>
      <c r="AQ92" s="95"/>
      <c r="AR92" s="95"/>
      <c r="AS92" s="95"/>
      <c r="AT92" s="95"/>
      <c r="AU92" s="95"/>
      <c r="AV92" s="95"/>
      <c r="AW92" s="95"/>
      <c r="AX92" s="95"/>
      <c r="AY92" s="95"/>
      <c r="AZ92" s="95"/>
      <c r="BA92" s="95"/>
      <c r="BB92" s="181"/>
      <c r="BC92" s="181"/>
      <c r="BD92" s="181"/>
      <c r="BE92" s="181"/>
      <c r="BF92" s="95"/>
      <c r="BG92" s="95"/>
      <c r="BH92" s="95"/>
      <c r="BI92" s="95"/>
      <c r="BJ92" s="95"/>
      <c r="BK92" s="95"/>
      <c r="BL92" s="95"/>
      <c r="BM92" s="95"/>
      <c r="BN92" s="95"/>
      <c r="BO92" s="95"/>
    </row>
    <row r="93" spans="2:67">
      <c r="B93" s="95"/>
      <c r="C93" s="95"/>
      <c r="D93" s="95"/>
      <c r="E93" s="177"/>
      <c r="F93" s="177"/>
      <c r="G93" s="95"/>
      <c r="H93" s="178"/>
      <c r="I93" s="95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179"/>
      <c r="X93" s="95"/>
      <c r="Y93" s="95"/>
      <c r="Z93" s="95"/>
      <c r="AA93" s="95"/>
      <c r="AB93" s="95"/>
      <c r="AC93" s="95"/>
      <c r="AD93" s="95"/>
      <c r="AE93" s="95"/>
      <c r="AF93" s="95"/>
      <c r="AG93" s="95"/>
      <c r="AH93" s="95"/>
      <c r="AI93" s="95"/>
      <c r="AJ93" s="95"/>
      <c r="AK93" s="179"/>
      <c r="AL93" s="179"/>
      <c r="AM93" s="178"/>
      <c r="AN93" s="180"/>
      <c r="AO93" s="95"/>
      <c r="AP93" s="95"/>
      <c r="AQ93" s="95"/>
      <c r="AR93" s="95"/>
      <c r="AS93" s="95"/>
      <c r="AT93" s="95"/>
      <c r="AU93" s="95"/>
      <c r="AV93" s="95"/>
      <c r="AW93" s="95"/>
      <c r="AX93" s="95"/>
      <c r="AY93" s="95"/>
      <c r="AZ93" s="95"/>
      <c r="BA93" s="95"/>
      <c r="BB93" s="181"/>
      <c r="BC93" s="181"/>
      <c r="BD93" s="181"/>
      <c r="BE93" s="181"/>
      <c r="BF93" s="95"/>
      <c r="BG93" s="95"/>
      <c r="BH93" s="95"/>
      <c r="BI93" s="95"/>
      <c r="BJ93" s="95"/>
      <c r="BK93" s="95"/>
      <c r="BL93" s="95"/>
      <c r="BM93" s="95"/>
      <c r="BN93" s="95"/>
      <c r="BO93" s="95"/>
    </row>
    <row r="94" spans="2:67">
      <c r="B94" s="95"/>
      <c r="C94" s="95"/>
      <c r="D94" s="95"/>
      <c r="E94" s="177"/>
      <c r="F94" s="177"/>
      <c r="G94" s="95"/>
      <c r="H94" s="178"/>
      <c r="I94" s="95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179"/>
      <c r="X94" s="95"/>
      <c r="Y94" s="95"/>
      <c r="Z94" s="95"/>
      <c r="AA94" s="95"/>
      <c r="AB94" s="95"/>
      <c r="AC94" s="95"/>
      <c r="AD94" s="95"/>
      <c r="AE94" s="95"/>
      <c r="AF94" s="95"/>
      <c r="AG94" s="95"/>
      <c r="AH94" s="95"/>
      <c r="AI94" s="95"/>
      <c r="AJ94" s="95"/>
      <c r="AK94" s="179"/>
      <c r="AL94" s="179"/>
      <c r="AM94" s="178"/>
      <c r="AN94" s="180"/>
      <c r="AO94" s="95"/>
      <c r="AP94" s="95"/>
      <c r="AQ94" s="95"/>
      <c r="AR94" s="95"/>
      <c r="AS94" s="95"/>
      <c r="AT94" s="95"/>
      <c r="AU94" s="95"/>
      <c r="AV94" s="95"/>
      <c r="AW94" s="95"/>
      <c r="AX94" s="95"/>
      <c r="AY94" s="95"/>
      <c r="AZ94" s="95"/>
      <c r="BA94" s="95"/>
      <c r="BB94" s="181"/>
      <c r="BC94" s="181"/>
      <c r="BD94" s="181"/>
      <c r="BE94" s="181"/>
      <c r="BF94" s="95"/>
      <c r="BG94" s="95"/>
      <c r="BH94" s="95"/>
      <c r="BI94" s="95"/>
      <c r="BJ94" s="95"/>
      <c r="BK94" s="95"/>
      <c r="BL94" s="95"/>
      <c r="BM94" s="95"/>
      <c r="BN94" s="95"/>
      <c r="BO94" s="95"/>
    </row>
    <row r="95" spans="2:67">
      <c r="B95" s="95"/>
      <c r="C95" s="95"/>
      <c r="D95" s="95"/>
      <c r="E95" s="177"/>
      <c r="F95" s="177"/>
      <c r="G95" s="95"/>
      <c r="H95" s="178"/>
      <c r="I95" s="95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179"/>
      <c r="X95" s="95"/>
      <c r="Y95" s="95"/>
      <c r="Z95" s="95"/>
      <c r="AA95" s="95"/>
      <c r="AB95" s="95"/>
      <c r="AC95" s="95"/>
      <c r="AD95" s="95"/>
      <c r="AE95" s="95"/>
      <c r="AF95" s="95"/>
      <c r="AG95" s="95"/>
      <c r="AH95" s="95"/>
      <c r="AI95" s="95"/>
      <c r="AJ95" s="95"/>
      <c r="AK95" s="179"/>
      <c r="AL95" s="179"/>
      <c r="AM95" s="178"/>
      <c r="AN95" s="180"/>
      <c r="AO95" s="95"/>
      <c r="AP95" s="95"/>
      <c r="AQ95" s="95"/>
      <c r="AR95" s="95"/>
      <c r="AS95" s="95"/>
      <c r="AT95" s="95"/>
      <c r="AU95" s="95"/>
      <c r="AV95" s="95"/>
      <c r="AW95" s="95"/>
      <c r="AX95" s="95"/>
      <c r="AY95" s="95"/>
      <c r="AZ95" s="95"/>
      <c r="BA95" s="95"/>
      <c r="BB95" s="181"/>
      <c r="BC95" s="181"/>
      <c r="BD95" s="181"/>
      <c r="BE95" s="181"/>
      <c r="BF95" s="95"/>
      <c r="BG95" s="95"/>
      <c r="BH95" s="95"/>
      <c r="BI95" s="95"/>
      <c r="BJ95" s="95"/>
      <c r="BK95" s="95"/>
      <c r="BL95" s="95"/>
      <c r="BM95" s="95"/>
      <c r="BN95" s="95"/>
      <c r="BO95" s="95"/>
    </row>
  </sheetData>
  <mergeCells count="51">
    <mergeCell ref="B1:I1"/>
    <mergeCell ref="B3:K3"/>
    <mergeCell ref="B4:B6"/>
    <mergeCell ref="C4:C6"/>
    <mergeCell ref="D4:D6"/>
    <mergeCell ref="E4:E6"/>
    <mergeCell ref="F4:F6"/>
    <mergeCell ref="G4:G6"/>
    <mergeCell ref="H4:H6"/>
    <mergeCell ref="I4:I6"/>
    <mergeCell ref="J4:AN4"/>
    <mergeCell ref="AO4:AO6"/>
    <mergeCell ref="AP4:BB4"/>
    <mergeCell ref="BC4:BC6"/>
    <mergeCell ref="BD4:BD6"/>
    <mergeCell ref="AV5:AV6"/>
    <mergeCell ref="AW5:AW6"/>
    <mergeCell ref="AX5:AX6"/>
    <mergeCell ref="AY5:AY6"/>
    <mergeCell ref="BF4:BK4"/>
    <mergeCell ref="BL4:BL6"/>
    <mergeCell ref="BM4:BM6"/>
    <mergeCell ref="BN4:BN6"/>
    <mergeCell ref="AP5:AP6"/>
    <mergeCell ref="AQ5:AQ6"/>
    <mergeCell ref="AR5:AR6"/>
    <mergeCell ref="AS5:AS6"/>
    <mergeCell ref="AT5:AT6"/>
    <mergeCell ref="AU5:AU6"/>
    <mergeCell ref="BE4:BE6"/>
    <mergeCell ref="BI5:BI6"/>
    <mergeCell ref="BJ5:BJ6"/>
    <mergeCell ref="BK5:BK6"/>
    <mergeCell ref="BF5:BF6"/>
    <mergeCell ref="BG5:BG6"/>
    <mergeCell ref="BH5:BH6"/>
    <mergeCell ref="B25:G25"/>
    <mergeCell ref="H25:I25"/>
    <mergeCell ref="B13:G13"/>
    <mergeCell ref="H13:I13"/>
    <mergeCell ref="B16:G16"/>
    <mergeCell ref="H16:I16"/>
    <mergeCell ref="B18:G18"/>
    <mergeCell ref="H18:I18"/>
    <mergeCell ref="B10:G10"/>
    <mergeCell ref="H10:I10"/>
    <mergeCell ref="AZ5:AZ6"/>
    <mergeCell ref="BA5:BA6"/>
    <mergeCell ref="BB5:BB6"/>
    <mergeCell ref="B7:G7"/>
    <mergeCell ref="H7:I7"/>
  </mergeCells>
  <conditionalFormatting sqref="J5:AN27">
    <cfRule type="expression" dxfId="21" priority="26">
      <formula>IF(WEEKDAY(J$5)=1,TRUE,FALSE)</formula>
    </cfRule>
    <cfRule type="expression" dxfId="20" priority="27">
      <formula>IF(WEEKDAY(J$5)=7,TRUE,FALSE)</formula>
    </cfRule>
    <cfRule type="expression" dxfId="19" priority="28">
      <formula>IF(J$5="",TRUE,FALSE)</formula>
    </cfRule>
  </conditionalFormatting>
  <conditionalFormatting sqref="H7:I27 AM7:BM27">
    <cfRule type="expression" dxfId="18" priority="25">
      <formula>$BN7="IH"</formula>
    </cfRule>
  </conditionalFormatting>
  <conditionalFormatting sqref="B7:BM27">
    <cfRule type="expression" dxfId="17" priority="24">
      <formula>AND(MOD(ROW(),2)=0, AND(B$6&lt;&gt;"  CN",B$6&lt;&gt;" "))</formula>
    </cfRule>
  </conditionalFormatting>
  <conditionalFormatting sqref="H7:BM27">
    <cfRule type="expression" dxfId="16" priority="23">
      <formula>$BN7="P"</formula>
    </cfRule>
  </conditionalFormatting>
  <conditionalFormatting sqref="AO7:BM27">
    <cfRule type="expression" dxfId="15" priority="22">
      <formula>$BN7="PH"</formula>
    </cfRule>
  </conditionalFormatting>
  <conditionalFormatting sqref="I7:BM27">
    <cfRule type="expression" dxfId="14" priority="21">
      <formula>$BN7="I"</formula>
    </cfRule>
  </conditionalFormatting>
  <conditionalFormatting sqref="J7:AN26">
    <cfRule type="expression" dxfId="13" priority="18">
      <formula>IF(WEEKDAY(J$5)=1,TRUE,FALSE)</formula>
    </cfRule>
    <cfRule type="expression" dxfId="12" priority="19">
      <formula>IF(WEEKDAY(J$5)=7,TRUE,FALSE)</formula>
    </cfRule>
    <cfRule type="expression" dxfId="11" priority="20">
      <formula>IF(J$5="",TRUE,FALSE)</formula>
    </cfRule>
  </conditionalFormatting>
  <conditionalFormatting sqref="H7:I26 AM7:BM26">
    <cfRule type="expression" dxfId="10" priority="17">
      <formula>$BN7="IH"</formula>
    </cfRule>
  </conditionalFormatting>
  <conditionalFormatting sqref="H7:BM26">
    <cfRule type="expression" dxfId="9" priority="15">
      <formula>$BN7="P"</formula>
    </cfRule>
  </conditionalFormatting>
  <conditionalFormatting sqref="AO7:BM26">
    <cfRule type="expression" dxfId="8" priority="14">
      <formula>$BN7="PH"</formula>
    </cfRule>
  </conditionalFormatting>
  <conditionalFormatting sqref="I7:BM26">
    <cfRule type="expression" dxfId="7" priority="13">
      <formula>$BN7="I"</formula>
    </cfRule>
  </conditionalFormatting>
  <conditionalFormatting sqref="E8:E9 E11:E12 E14:E15">
    <cfRule type="expression" dxfId="6" priority="12">
      <formula>AND(MOD(ROW(),2)=0,$BB8)</formula>
    </cfRule>
  </conditionalFormatting>
  <conditionalFormatting sqref="E17">
    <cfRule type="expression" dxfId="5" priority="6">
      <formula>AND(MOD(ROW(),2)=0,$BB17)</formula>
    </cfRule>
  </conditionalFormatting>
  <conditionalFormatting sqref="E17">
    <cfRule type="expression" dxfId="4" priority="5">
      <formula>AND(MOD(ROW(),2)=0,$BB17)</formula>
    </cfRule>
  </conditionalFormatting>
  <conditionalFormatting sqref="E19:E24">
    <cfRule type="expression" dxfId="3" priority="4">
      <formula>AND(MOD(ROW(),2)=0,$BB19)</formula>
    </cfRule>
  </conditionalFormatting>
  <conditionalFormatting sqref="E19:E24">
    <cfRule type="expression" dxfId="2" priority="3">
      <formula>AND(MOD(ROW(),2)=0,$BB19)</formula>
    </cfRule>
  </conditionalFormatting>
  <conditionalFormatting sqref="E26">
    <cfRule type="expression" dxfId="1" priority="2">
      <formula>AND(MOD(ROW(),2)=0,$BB26)</formula>
    </cfRule>
  </conditionalFormatting>
  <conditionalFormatting sqref="E26">
    <cfRule type="expression" dxfId="0" priority="1">
      <formula>AND(MOD(ROW(),2)=0,$BB26)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>
    <tabColor theme="8" tint="0.39997558519241921"/>
    <pageSetUpPr fitToPage="1"/>
  </sheetPr>
  <dimension ref="A1:Q20"/>
  <sheetViews>
    <sheetView showGridLines="0" workbookViewId="0">
      <pane xSplit="7" ySplit="7" topLeftCell="H8" activePane="bottomRight" state="frozen"/>
      <selection pane="topRight" activeCell="E1" sqref="E1"/>
      <selection pane="bottomLeft" activeCell="A10" sqref="A10"/>
      <selection pane="bottomRight" activeCell="D22" sqref="D22"/>
    </sheetView>
  </sheetViews>
  <sheetFormatPr defaultColWidth="12.42578125" defaultRowHeight="15"/>
  <cols>
    <col min="1" max="1" width="5.5703125" style="3" customWidth="1"/>
    <col min="2" max="2" width="12.28515625" style="3" customWidth="1"/>
    <col min="3" max="4" width="23.85546875" style="3" customWidth="1"/>
    <col min="5" max="5" width="18.42578125" style="3" customWidth="1"/>
    <col min="6" max="6" width="16.42578125" style="3" customWidth="1"/>
    <col min="7" max="7" width="10.7109375" style="3" customWidth="1"/>
    <col min="8" max="8" width="11" style="3" customWidth="1"/>
    <col min="9" max="9" width="17.7109375" style="3" customWidth="1"/>
    <col min="10" max="10" width="9" style="3" customWidth="1"/>
    <col min="11" max="13" width="11" style="3" customWidth="1"/>
    <col min="14" max="15" width="9" style="3" customWidth="1"/>
    <col min="16" max="16" width="11" style="3" customWidth="1"/>
    <col min="17" max="18" width="3.85546875" style="3" customWidth="1"/>
    <col min="19" max="16384" width="12.42578125" style="3"/>
  </cols>
  <sheetData>
    <row r="1" spans="1:17" ht="50.1" customHeight="1">
      <c r="A1" s="4"/>
      <c r="B1" s="5" t="s">
        <v>5</v>
      </c>
      <c r="C1" s="5"/>
      <c r="D1" s="5"/>
      <c r="E1" s="5"/>
      <c r="F1" s="5"/>
      <c r="G1" s="5"/>
      <c r="H1" s="6"/>
      <c r="I1" s="6"/>
      <c r="J1" s="6"/>
      <c r="K1" s="6"/>
      <c r="L1" s="6"/>
      <c r="M1" s="7"/>
      <c r="N1" s="7"/>
      <c r="O1" s="7"/>
      <c r="P1" s="7"/>
      <c r="Q1" s="4"/>
    </row>
    <row r="2" spans="1:17" ht="17.25" customHeight="1" thickBot="1">
      <c r="A2" s="4"/>
      <c r="B2" s="41" t="s">
        <v>28</v>
      </c>
      <c r="C2" s="39">
        <f ca="1">YEAR(TODAY())</f>
        <v>2025</v>
      </c>
      <c r="D2" s="26"/>
      <c r="E2" s="26"/>
      <c r="F2" s="26"/>
      <c r="G2" s="25"/>
      <c r="H2" s="287" t="s">
        <v>18</v>
      </c>
      <c r="I2" s="288"/>
      <c r="J2" s="289" t="s">
        <v>19</v>
      </c>
      <c r="K2" s="290"/>
      <c r="L2" s="291" t="s">
        <v>20</v>
      </c>
      <c r="M2" s="292"/>
      <c r="N2" s="26"/>
      <c r="O2" s="26"/>
      <c r="P2" s="26"/>
      <c r="Q2" s="4"/>
    </row>
    <row r="3" spans="1:17" ht="28.5">
      <c r="A3" s="4"/>
      <c r="B3" s="42" t="s">
        <v>29</v>
      </c>
      <c r="C3" s="40">
        <f ca="1">MONTH(TODAY())</f>
        <v>8</v>
      </c>
      <c r="D3" s="26"/>
      <c r="E3" s="26"/>
      <c r="F3" s="26"/>
      <c r="G3" s="25"/>
      <c r="H3" s="277">
        <f>SUM(M28+O28)</f>
        <v>0</v>
      </c>
      <c r="I3" s="278"/>
      <c r="J3" s="281">
        <v>0</v>
      </c>
      <c r="K3" s="282"/>
      <c r="L3" s="285">
        <v>0</v>
      </c>
      <c r="M3" s="286"/>
      <c r="N3" s="26"/>
      <c r="O3" s="26"/>
      <c r="P3" s="26"/>
      <c r="Q3" s="4"/>
    </row>
    <row r="4" spans="1:17" ht="17.25" customHeight="1">
      <c r="A4" s="4"/>
      <c r="B4" s="39"/>
      <c r="C4" s="39"/>
      <c r="D4" s="26"/>
      <c r="E4" s="26"/>
      <c r="F4" s="26"/>
      <c r="G4" s="25"/>
      <c r="H4" s="279"/>
      <c r="I4" s="280"/>
      <c r="J4" s="283"/>
      <c r="K4" s="284"/>
      <c r="L4" s="279"/>
      <c r="M4" s="280"/>
      <c r="N4" s="26"/>
      <c r="O4" s="26"/>
      <c r="P4" s="26"/>
      <c r="Q4" s="4"/>
    </row>
    <row r="5" spans="1:17" s="9" customFormat="1" ht="21.95" customHeight="1">
      <c r="A5" s="8"/>
      <c r="B5" s="293">
        <f ca="1">DATE(C2,C3,1)</f>
        <v>45870</v>
      </c>
      <c r="C5" s="294"/>
      <c r="D5" s="27"/>
      <c r="E5" s="27"/>
      <c r="F5" s="27"/>
      <c r="G5" s="23"/>
      <c r="H5" s="302">
        <f ca="1">DAY(H6)</f>
        <v>1</v>
      </c>
      <c r="I5" s="303"/>
      <c r="J5" s="303"/>
      <c r="K5" s="303"/>
      <c r="L5" s="304"/>
      <c r="M5" s="296">
        <f t="shared" ref="M5" ca="1" si="0">DAY(M6)</f>
        <v>2</v>
      </c>
      <c r="N5" s="297"/>
      <c r="O5" s="297"/>
      <c r="P5" s="297"/>
      <c r="Q5" s="8"/>
    </row>
    <row r="6" spans="1:17" s="11" customFormat="1" ht="21.95" customHeight="1">
      <c r="A6" s="10"/>
      <c r="B6" s="295"/>
      <c r="C6" s="295"/>
      <c r="D6" s="28"/>
      <c r="E6" s="28"/>
      <c r="F6" s="28"/>
      <c r="G6" s="24"/>
      <c r="H6" s="300">
        <f ca="1">B5</f>
        <v>45870</v>
      </c>
      <c r="I6" s="299"/>
      <c r="J6" s="299"/>
      <c r="K6" s="299"/>
      <c r="L6" s="301"/>
      <c r="M6" s="298">
        <f ca="1">H6+1</f>
        <v>45871</v>
      </c>
      <c r="N6" s="299"/>
      <c r="O6" s="299"/>
      <c r="P6" s="299"/>
      <c r="Q6" s="10"/>
    </row>
    <row r="7" spans="1:17" s="16" customFormat="1" ht="39.75" customHeight="1">
      <c r="A7" s="33" t="s">
        <v>26</v>
      </c>
      <c r="B7" s="36" t="s">
        <v>27</v>
      </c>
      <c r="C7" s="35" t="s">
        <v>7</v>
      </c>
      <c r="D7" s="34" t="s">
        <v>6</v>
      </c>
      <c r="E7" s="34" t="s">
        <v>24</v>
      </c>
      <c r="F7" s="34" t="s">
        <v>23</v>
      </c>
      <c r="G7" s="32" t="s">
        <v>13</v>
      </c>
      <c r="H7" s="12" t="s">
        <v>8</v>
      </c>
      <c r="I7" s="30" t="s">
        <v>25</v>
      </c>
      <c r="J7" s="14" t="s">
        <v>11</v>
      </c>
      <c r="K7" s="15" t="s">
        <v>12</v>
      </c>
      <c r="L7" s="12" t="s">
        <v>8</v>
      </c>
      <c r="M7" s="13" t="s">
        <v>9</v>
      </c>
      <c r="N7" s="13" t="s">
        <v>10</v>
      </c>
      <c r="O7" s="14" t="s">
        <v>11</v>
      </c>
      <c r="P7" s="15" t="s">
        <v>12</v>
      </c>
    </row>
    <row r="8" spans="1:17" ht="21.95" customHeight="1">
      <c r="A8" s="31">
        <f>ROW()-7</f>
        <v>1</v>
      </c>
      <c r="B8" s="17"/>
      <c r="C8" s="38"/>
      <c r="D8" s="17" t="s">
        <v>14</v>
      </c>
      <c r="E8" s="17"/>
      <c r="F8" s="17"/>
      <c r="G8" s="22">
        <f>SUM(K8+P8)</f>
        <v>9.0000000000000018</v>
      </c>
      <c r="H8" s="18">
        <v>0.33333333333333331</v>
      </c>
      <c r="I8" s="37"/>
      <c r="J8" s="20">
        <v>0.70833333333333337</v>
      </c>
      <c r="K8" s="29">
        <f t="shared" ref="K8:K20" si="1">IF(J8&lt;H8,0,(J8-H8)*24)</f>
        <v>9.0000000000000018</v>
      </c>
      <c r="L8" s="18"/>
      <c r="M8" s="19"/>
      <c r="N8" s="19"/>
      <c r="O8" s="20"/>
      <c r="P8" s="21">
        <f>IFERROR((O8-L8)-(M8+N8),"")</f>
        <v>0</v>
      </c>
    </row>
    <row r="9" spans="1:17" ht="21.95" customHeight="1">
      <c r="A9" s="31">
        <f t="shared" ref="A9:A20" si="2">ROW()-7</f>
        <v>2</v>
      </c>
      <c r="B9" s="17"/>
      <c r="C9" s="38"/>
      <c r="D9" s="17" t="s">
        <v>15</v>
      </c>
      <c r="E9" s="17"/>
      <c r="F9" s="17"/>
      <c r="G9" s="22">
        <f t="shared" ref="G9:G20" si="3">SUM(K9+P9)</f>
        <v>2.5833333333333321</v>
      </c>
      <c r="H9" s="18">
        <v>0.25</v>
      </c>
      <c r="I9" s="37"/>
      <c r="J9" s="20">
        <v>0.34027777777777773</v>
      </c>
      <c r="K9" s="29">
        <f t="shared" si="1"/>
        <v>2.1666666666666656</v>
      </c>
      <c r="L9" s="18">
        <v>0.33333333333333331</v>
      </c>
      <c r="M9" s="19"/>
      <c r="N9" s="19"/>
      <c r="O9" s="20">
        <v>0.75</v>
      </c>
      <c r="P9" s="21">
        <f t="shared" ref="P9:P20" si="4">IFERROR((O9-L9)-(M9+N9),"")</f>
        <v>0.41666666666666669</v>
      </c>
    </row>
    <row r="10" spans="1:17" ht="21.95" customHeight="1">
      <c r="A10" s="31">
        <f t="shared" si="2"/>
        <v>3</v>
      </c>
      <c r="B10" s="17"/>
      <c r="C10" s="38"/>
      <c r="D10" s="17" t="s">
        <v>16</v>
      </c>
      <c r="E10" s="17"/>
      <c r="F10" s="17"/>
      <c r="G10" s="22">
        <f t="shared" si="3"/>
        <v>10</v>
      </c>
      <c r="H10" s="18">
        <v>0.33333333333333331</v>
      </c>
      <c r="I10" s="37"/>
      <c r="J10" s="20">
        <v>0.75</v>
      </c>
      <c r="K10" s="29">
        <f t="shared" si="1"/>
        <v>10</v>
      </c>
      <c r="L10" s="18"/>
      <c r="M10" s="19"/>
      <c r="N10" s="19"/>
      <c r="O10" s="20"/>
      <c r="P10" s="21">
        <f t="shared" si="4"/>
        <v>0</v>
      </c>
    </row>
    <row r="11" spans="1:17" ht="21.95" customHeight="1">
      <c r="A11" s="31">
        <f t="shared" si="2"/>
        <v>4</v>
      </c>
      <c r="B11" s="17"/>
      <c r="C11" s="38"/>
      <c r="D11" s="17" t="s">
        <v>16</v>
      </c>
      <c r="E11" s="17"/>
      <c r="F11" s="17"/>
      <c r="G11" s="22">
        <f t="shared" si="3"/>
        <v>1.4166666666666659</v>
      </c>
      <c r="H11" s="18">
        <v>0.58333333333333337</v>
      </c>
      <c r="I11" s="37"/>
      <c r="J11" s="20">
        <v>0.625</v>
      </c>
      <c r="K11" s="29">
        <f t="shared" si="1"/>
        <v>0.99999999999999911</v>
      </c>
      <c r="L11" s="18">
        <v>0.33333333333333331</v>
      </c>
      <c r="M11" s="19"/>
      <c r="N11" s="19"/>
      <c r="O11" s="20">
        <v>0.75</v>
      </c>
      <c r="P11" s="21">
        <f t="shared" si="4"/>
        <v>0.41666666666666669</v>
      </c>
    </row>
    <row r="12" spans="1:17" ht="21.95" customHeight="1">
      <c r="A12" s="31">
        <f t="shared" si="2"/>
        <v>5</v>
      </c>
      <c r="B12" s="17"/>
      <c r="C12" s="38"/>
      <c r="D12" s="17" t="s">
        <v>17</v>
      </c>
      <c r="E12" s="17"/>
      <c r="F12" s="17"/>
      <c r="G12" s="22">
        <f t="shared" si="3"/>
        <v>0.41666666666666669</v>
      </c>
      <c r="H12" s="18">
        <v>0.33333333333333331</v>
      </c>
      <c r="I12" s="37"/>
      <c r="J12" s="20"/>
      <c r="K12" s="29">
        <f t="shared" si="1"/>
        <v>0</v>
      </c>
      <c r="L12" s="18">
        <v>0.33333333333333331</v>
      </c>
      <c r="M12" s="19"/>
      <c r="N12" s="19"/>
      <c r="O12" s="20">
        <v>0.75</v>
      </c>
      <c r="P12" s="21">
        <f t="shared" si="4"/>
        <v>0.41666666666666669</v>
      </c>
    </row>
    <row r="13" spans="1:17" ht="21.95" customHeight="1">
      <c r="A13" s="31">
        <f t="shared" si="2"/>
        <v>6</v>
      </c>
      <c r="B13" s="17"/>
      <c r="C13" s="38"/>
      <c r="D13" s="17"/>
      <c r="E13" s="17"/>
      <c r="F13" s="17"/>
      <c r="G13" s="22">
        <f t="shared" si="3"/>
        <v>0</v>
      </c>
      <c r="H13" s="18"/>
      <c r="I13" s="37"/>
      <c r="J13" s="20"/>
      <c r="K13" s="29">
        <f t="shared" si="1"/>
        <v>0</v>
      </c>
      <c r="L13" s="18"/>
      <c r="M13" s="19"/>
      <c r="N13" s="19"/>
      <c r="O13" s="20"/>
      <c r="P13" s="21">
        <f t="shared" si="4"/>
        <v>0</v>
      </c>
    </row>
    <row r="14" spans="1:17" ht="21.95" customHeight="1">
      <c r="A14" s="31">
        <f t="shared" si="2"/>
        <v>7</v>
      </c>
      <c r="B14" s="17"/>
      <c r="C14" s="38"/>
      <c r="D14" s="17"/>
      <c r="E14" s="17"/>
      <c r="F14" s="17"/>
      <c r="G14" s="22">
        <f t="shared" si="3"/>
        <v>0</v>
      </c>
      <c r="H14" s="18"/>
      <c r="I14" s="37"/>
      <c r="J14" s="20"/>
      <c r="K14" s="29">
        <f t="shared" si="1"/>
        <v>0</v>
      </c>
      <c r="L14" s="18"/>
      <c r="M14" s="19"/>
      <c r="N14" s="19"/>
      <c r="O14" s="20"/>
      <c r="P14" s="21">
        <f t="shared" si="4"/>
        <v>0</v>
      </c>
    </row>
    <row r="15" spans="1:17" ht="21.95" customHeight="1">
      <c r="A15" s="31">
        <f t="shared" si="2"/>
        <v>8</v>
      </c>
      <c r="B15" s="17"/>
      <c r="C15" s="38"/>
      <c r="D15" s="17"/>
      <c r="E15" s="17"/>
      <c r="F15" s="17"/>
      <c r="G15" s="22">
        <f t="shared" si="3"/>
        <v>0</v>
      </c>
      <c r="H15" s="18"/>
      <c r="I15" s="37"/>
      <c r="J15" s="20"/>
      <c r="K15" s="29">
        <f t="shared" si="1"/>
        <v>0</v>
      </c>
      <c r="L15" s="18"/>
      <c r="M15" s="19"/>
      <c r="N15" s="19"/>
      <c r="O15" s="20"/>
      <c r="P15" s="21">
        <f t="shared" si="4"/>
        <v>0</v>
      </c>
    </row>
    <row r="16" spans="1:17" ht="21.95" customHeight="1">
      <c r="A16" s="31">
        <f t="shared" si="2"/>
        <v>9</v>
      </c>
      <c r="B16" s="17"/>
      <c r="C16" s="38"/>
      <c r="D16" s="17"/>
      <c r="E16" s="17"/>
      <c r="F16" s="17"/>
      <c r="G16" s="22">
        <f t="shared" si="3"/>
        <v>0</v>
      </c>
      <c r="H16" s="18"/>
      <c r="I16" s="37"/>
      <c r="J16" s="20"/>
      <c r="K16" s="29">
        <f t="shared" si="1"/>
        <v>0</v>
      </c>
      <c r="L16" s="18"/>
      <c r="M16" s="19"/>
      <c r="N16" s="19"/>
      <c r="O16" s="20"/>
      <c r="P16" s="21">
        <f t="shared" si="4"/>
        <v>0</v>
      </c>
    </row>
    <row r="17" spans="1:16" ht="21.95" customHeight="1">
      <c r="A17" s="31">
        <f t="shared" si="2"/>
        <v>10</v>
      </c>
      <c r="B17" s="17"/>
      <c r="C17" s="38"/>
      <c r="D17" s="17"/>
      <c r="E17" s="17"/>
      <c r="F17" s="17"/>
      <c r="G17" s="22">
        <f t="shared" si="3"/>
        <v>0</v>
      </c>
      <c r="H17" s="18"/>
      <c r="I17" s="37"/>
      <c r="J17" s="20"/>
      <c r="K17" s="29">
        <f t="shared" si="1"/>
        <v>0</v>
      </c>
      <c r="L17" s="18"/>
      <c r="M17" s="19"/>
      <c r="N17" s="19"/>
      <c r="O17" s="20"/>
      <c r="P17" s="21">
        <f>IFERROR((O17-L17)-(M17+N17),"")</f>
        <v>0</v>
      </c>
    </row>
    <row r="18" spans="1:16" ht="21.95" customHeight="1">
      <c r="A18" s="31">
        <f t="shared" si="2"/>
        <v>11</v>
      </c>
      <c r="B18" s="17"/>
      <c r="C18" s="38"/>
      <c r="D18" s="17"/>
      <c r="E18" s="17"/>
      <c r="F18" s="17"/>
      <c r="G18" s="22">
        <f t="shared" si="3"/>
        <v>0</v>
      </c>
      <c r="H18" s="18"/>
      <c r="I18" s="37"/>
      <c r="J18" s="20"/>
      <c r="K18" s="29">
        <f t="shared" si="1"/>
        <v>0</v>
      </c>
      <c r="L18" s="18"/>
      <c r="M18" s="19"/>
      <c r="N18" s="19"/>
      <c r="O18" s="20"/>
      <c r="P18" s="21">
        <f t="shared" si="4"/>
        <v>0</v>
      </c>
    </row>
    <row r="19" spans="1:16" ht="21.95" customHeight="1">
      <c r="A19" s="31">
        <f t="shared" si="2"/>
        <v>12</v>
      </c>
      <c r="B19" s="17"/>
      <c r="C19" s="38"/>
      <c r="D19" s="17"/>
      <c r="E19" s="17"/>
      <c r="F19" s="17"/>
      <c r="G19" s="22">
        <f t="shared" si="3"/>
        <v>0</v>
      </c>
      <c r="H19" s="18"/>
      <c r="I19" s="37"/>
      <c r="J19" s="20"/>
      <c r="K19" s="29">
        <f t="shared" si="1"/>
        <v>0</v>
      </c>
      <c r="L19" s="18"/>
      <c r="M19" s="19"/>
      <c r="N19" s="19"/>
      <c r="O19" s="20"/>
      <c r="P19" s="21">
        <f t="shared" si="4"/>
        <v>0</v>
      </c>
    </row>
    <row r="20" spans="1:16" ht="21.95" customHeight="1">
      <c r="A20" s="31">
        <f t="shared" si="2"/>
        <v>13</v>
      </c>
      <c r="B20" s="17"/>
      <c r="C20" s="38"/>
      <c r="D20" s="17"/>
      <c r="E20" s="17"/>
      <c r="F20" s="17"/>
      <c r="G20" s="22">
        <f t="shared" si="3"/>
        <v>0</v>
      </c>
      <c r="H20" s="18"/>
      <c r="I20" s="37"/>
      <c r="J20" s="20"/>
      <c r="K20" s="29">
        <f t="shared" si="1"/>
        <v>0</v>
      </c>
      <c r="L20" s="18"/>
      <c r="M20" s="19"/>
      <c r="N20" s="19"/>
      <c r="O20" s="20"/>
      <c r="P20" s="21">
        <f t="shared" si="4"/>
        <v>0</v>
      </c>
    </row>
  </sheetData>
  <mergeCells count="11">
    <mergeCell ref="B5:C6"/>
    <mergeCell ref="M5:P5"/>
    <mergeCell ref="M6:P6"/>
    <mergeCell ref="H6:L6"/>
    <mergeCell ref="H5:L5"/>
    <mergeCell ref="H3:I4"/>
    <mergeCell ref="J3:K4"/>
    <mergeCell ref="L3:M4"/>
    <mergeCell ref="H2:I2"/>
    <mergeCell ref="J2:K2"/>
    <mergeCell ref="L2:M2"/>
  </mergeCells>
  <pageMargins left="0.25" right="0.25" top="0.75" bottom="0.75" header="0.3" footer="0.3"/>
  <pageSetup paperSize="3" scale="54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K2"/>
  <sheetViews>
    <sheetView workbookViewId="0">
      <selection activeCell="C6" sqref="C6"/>
    </sheetView>
  </sheetViews>
  <sheetFormatPr defaultRowHeight="15"/>
  <cols>
    <col min="1" max="1" width="10" style="197" customWidth="1"/>
    <col min="2" max="2" width="15.7109375" style="197" customWidth="1"/>
    <col min="3" max="3" width="21.7109375" style="195" customWidth="1"/>
    <col min="4" max="8" width="25" style="196" customWidth="1"/>
    <col min="9" max="9" width="19.7109375" style="196" customWidth="1"/>
    <col min="10" max="10" width="16.140625" style="195" customWidth="1"/>
    <col min="11" max="11" width="20.7109375" style="195" customWidth="1"/>
    <col min="12" max="16384" width="9.140625" style="194"/>
  </cols>
  <sheetData>
    <row r="1" spans="1:11" s="188" customFormat="1" ht="24.75" customHeight="1" thickBot="1">
      <c r="A1" s="189" t="s">
        <v>160</v>
      </c>
      <c r="B1" s="190" t="s">
        <v>1</v>
      </c>
      <c r="C1" s="190" t="s">
        <v>21</v>
      </c>
      <c r="D1" s="191" t="s">
        <v>161</v>
      </c>
      <c r="E1" s="191" t="s">
        <v>162</v>
      </c>
      <c r="F1" s="191" t="s">
        <v>22</v>
      </c>
      <c r="G1" s="191" t="s">
        <v>23</v>
      </c>
      <c r="H1" s="191" t="s">
        <v>163</v>
      </c>
      <c r="I1" s="192" t="s">
        <v>164</v>
      </c>
      <c r="J1" s="193" t="s">
        <v>24</v>
      </c>
      <c r="K1" s="193" t="s">
        <v>165</v>
      </c>
    </row>
    <row r="2" spans="1:11" s="188" customFormat="1" ht="24.75" customHeight="1" thickBot="1">
      <c r="A2" s="189" t="s">
        <v>71</v>
      </c>
      <c r="B2" s="190" t="s">
        <v>72</v>
      </c>
      <c r="C2" s="190" t="s">
        <v>73</v>
      </c>
      <c r="D2" s="191" t="s">
        <v>166</v>
      </c>
      <c r="E2" s="191" t="s">
        <v>167</v>
      </c>
      <c r="F2" s="191" t="s">
        <v>49</v>
      </c>
      <c r="G2" s="191" t="s">
        <v>168</v>
      </c>
      <c r="H2" s="191" t="s">
        <v>169</v>
      </c>
      <c r="I2" s="192" t="s">
        <v>51</v>
      </c>
      <c r="J2" s="193" t="s">
        <v>170</v>
      </c>
      <c r="K2" s="193" t="s">
        <v>171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att_logs</vt:lpstr>
      <vt:lpstr>Time_IO</vt:lpstr>
      <vt:lpstr> Time_SUM</vt:lpstr>
      <vt:lpstr>Attendance</vt:lpstr>
      <vt:lpstr>Employees</vt:lpstr>
      <vt:lpstr>Attendance!Print_Area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2025-08-14T01:39:58Z</dcterms:created>
  <dcterms:modified xsi:type="dcterms:W3CDTF">2025-08-26T01:49:44Z</dcterms:modified>
</cp:coreProperties>
</file>